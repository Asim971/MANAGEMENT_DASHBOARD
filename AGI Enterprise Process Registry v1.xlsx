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Dashboard" sheetId="1" r:id="rId5"/>
    <sheet state="visible" name="Dashboard Inputs" sheetId="2" r:id="rId6"/>
    <sheet state="visible" name="README" sheetId="3" r:id="rId7"/>
    <sheet state="visible" name="Process Registry" sheetId="4" r:id="rId8"/>
    <sheet state="visible" name="Hierarchy &amp; Coding" sheetId="5" r:id="rId9"/>
    <sheet state="visible" name="Transformation States" sheetId="6" r:id="rId10"/>
    <sheet state="visible" name="Evidence Levels" sheetId="7" r:id="rId11"/>
    <sheet state="visible" name="Calibration Waves" sheetId="8" r:id="rId12"/>
    <sheet state="visible" name="Field Dictionary" sheetId="9" r:id="rId13"/>
    <sheet state="visible" name="Sources" sheetId="10" r:id="rId14"/>
    <sheet state="visible" name="Wave1 O2C Process Tree" sheetId="11" r:id="rId15"/>
    <sheet state="visible" name="O2C Metric Dictionary" sheetId="12" r:id="rId16"/>
    <sheet state="visible" name="O2C Evidence Requirements" sheetId="13" r:id="rId17"/>
    <sheet state="visible" name="Wave2 S2P Process Tree" sheetId="14" r:id="rId18"/>
    <sheet state="visible" name="S2P Metric Dictionary" sheetId="15" r:id="rId19"/>
    <sheet state="visible" name="S2P Evidence Requirements" sheetId="16" r:id="rId20"/>
    <sheet state="visible" name="Wave3 D2POD Process Tree" sheetId="17" r:id="rId21"/>
    <sheet state="visible" name="D2POD Metric Dictionary" sheetId="18" r:id="rId22"/>
    <sheet state="visible" name="D2POD Evidence Requirements" sheetId="19" r:id="rId23"/>
    <sheet state="visible" name="Wave4 A2P Process Tree" sheetId="20" r:id="rId24"/>
    <sheet state="visible" name="A2P Metric Dictionary" sheetId="21" r:id="rId25"/>
    <sheet state="visible" name="A2P Evidence Requirements" sheetId="22" r:id="rId26"/>
    <sheet state="visible" name="Wave5 P2P Process Tree" sheetId="23" r:id="rId27"/>
    <sheet state="visible" name="P2P Metric Dictionary" sheetId="24" r:id="rId28"/>
    <sheet state="visible" name="P2P Evidence Requirements" sheetId="25" r:id="rId29"/>
    <sheet state="visible" name="O2C Calibration Register" sheetId="26" r:id="rId30"/>
    <sheet state="visible" name="O2C Event Schema" sheetId="27" r:id="rId31"/>
    <sheet state="visible" name="O2C Pilot KPI Baseline" sheetId="28" r:id="rId32"/>
    <sheet state="visible" name="O2C Jira Evidence" sheetId="29" r:id="rId33"/>
    <sheet state="visible" name="O2C Evidence Collection Plan" sheetId="30" r:id="rId34"/>
    <sheet state="visible" name="O2C Source-to-Field Mapping" sheetId="31" r:id="rId35"/>
    <sheet state="visible" name="O2C Extraction Readiness" sheetId="32" r:id="rId36"/>
    <sheet state="visible" name="O2C Extraction Runbook" sheetId="33" r:id="rId37"/>
    <sheet state="visible" name="O2C Activity Dictionary" sheetId="34" r:id="rId38"/>
    <sheet state="visible" name="O2C Data Request Pack" sheetId="35" r:id="rId39"/>
    <sheet state="visible" name="O2C Data Quality Gates" sheetId="36" r:id="rId40"/>
    <sheet state="visible" name="O2C Pilot SBU Selection" sheetId="37" r:id="rId41"/>
    <sheet state="visible" name="O2C Pilot Evidence Intake" sheetId="38" r:id="rId42"/>
    <sheet state="visible" name="AOPL P0 Dispatch Pack" sheetId="39" r:id="rId43"/>
    <sheet state="visible" name="O2C Case Bridge Template" sheetId="40" r:id="rId44"/>
  </sheets>
  <definedNames>
    <definedName hidden="1" localSheetId="13" name="_xlnm._FilterDatabase">'Wave2 S2P Process Tree'!$A$1:$R$37</definedName>
    <definedName hidden="1" localSheetId="14" name="_xlnm._FilterDatabase">'S2P Metric Dictionary'!$A$1:$M$35</definedName>
    <definedName hidden="1" localSheetId="15" name="_xlnm._FilterDatabase">'S2P Evidence Requirements'!$A$1:$L$27</definedName>
    <definedName hidden="1" localSheetId="16" name="_xlnm._FilterDatabase">'Wave3 D2POD Process Tree'!$A$1:$R$33</definedName>
    <definedName hidden="1" localSheetId="17" name="_xlnm._FilterDatabase">'D2POD Metric Dictionary'!$A$1:$M$46</definedName>
    <definedName hidden="1" localSheetId="18" name="_xlnm._FilterDatabase">'D2POD Evidence Requirements'!$A$1:$L$29</definedName>
    <definedName hidden="1" localSheetId="19" name="_xlnm._FilterDatabase">'Wave4 A2P Process Tree'!$A$1:$R$36</definedName>
    <definedName hidden="1" localSheetId="20" name="_xlnm._FilterDatabase">'A2P Metric Dictionary'!$A$1:$M$46</definedName>
    <definedName hidden="1" localSheetId="21" name="_xlnm._FilterDatabase">'A2P Evidence Requirements'!$A$1:$L$30</definedName>
    <definedName hidden="1" localSheetId="22" name="_xlnm._FilterDatabase">'Wave5 P2P Process Tree'!$A$1:$R$43</definedName>
    <definedName hidden="1" localSheetId="23" name="_xlnm._FilterDatabase">'P2P Metric Dictionary'!$A$1:$M$46</definedName>
    <definedName hidden="1" localSheetId="24" name="_xlnm._FilterDatabase">'P2P Evidence Requirements'!$A$1:$L$33</definedName>
    <definedName hidden="1" localSheetId="25" name="_xlnm._FilterDatabase">'O2C Calibration Register'!$A$1:$N$15</definedName>
    <definedName hidden="1" localSheetId="26" name="_xlnm._FilterDatabase">'O2C Event Schema'!$A$1:$J$31</definedName>
    <definedName hidden="1" localSheetId="27" name="_xlnm._FilterDatabase">'O2C Pilot KPI Baseline'!$A$1:$N$16</definedName>
    <definedName hidden="1" localSheetId="28" name="_xlnm._FilterDatabase">'O2C Jira Evidence'!$A$1:$K$25</definedName>
    <definedName hidden="1" localSheetId="29" name="_xlnm._FilterDatabase">'O2C Evidence Collection Plan'!$A$1:$M$14</definedName>
    <definedName hidden="1" localSheetId="30" name="_xlnm._FilterDatabase">'O2C Source-to-Field Mapping'!$A$1:$O$34</definedName>
    <definedName hidden="1" localSheetId="31" name="_xlnm._FilterDatabase">'O2C Extraction Readiness'!$A$1:$M$14</definedName>
    <definedName hidden="1" localSheetId="32" name="_xlnm._FilterDatabase">'O2C Extraction Runbook'!$A$1:$O$23</definedName>
    <definedName hidden="1" localSheetId="33" name="_xlnm._FilterDatabase">'O2C Activity Dictionary'!$A$1:$T$60</definedName>
    <definedName hidden="1" localSheetId="34" name="_xlnm._FilterDatabase">'O2C Data Request Pack'!$A$1:$O$15</definedName>
    <definedName hidden="1" localSheetId="35" name="_xlnm._FilterDatabase">'O2C Data Quality Gates'!$A$1:$M$16</definedName>
    <definedName hidden="1" localSheetId="36" name="_xlnm._FilterDatabase">'O2C Pilot SBU Selection'!$A$8:$W$13</definedName>
    <definedName hidden="1" localSheetId="37" name="_xlnm._FilterDatabase">'O2C Pilot Evidence Intake'!$A$12:$S$47</definedName>
    <definedName hidden="1" localSheetId="38" name="_xlnm._FilterDatabase">'AOPL P0 Dispatch Pack'!$A$8:$R$15</definedName>
    <definedName hidden="1" localSheetId="39" name="_xlnm._FilterDatabase">'O2C Case Bridge Template'!$A$9:$AN$500</definedName>
  </definedNames>
  <calcPr/>
</workbook>
</file>

<file path=xl/sharedStrings.xml><?xml version="1.0" encoding="utf-8"?>
<sst xmlns="http://schemas.openxmlformats.org/spreadsheetml/2006/main" count="14038" uniqueCount="8402">
  <si>
    <t>Process ID</t>
  </si>
  <si>
    <t>AGI Enterprise Process Registry v1</t>
  </si>
  <si>
    <t>Wing</t>
  </si>
  <si>
    <t>Purpose</t>
  </si>
  <si>
    <t>L0 Enterprise</t>
  </si>
  <si>
    <t>Create one evidence-based canonical process registry for management transformation visibility across ERP digitization, workflow automation, AI assistance and bounded agentic execution.</t>
  </si>
  <si>
    <t>L1 Organization / SBU</t>
  </si>
  <si>
    <t>L2 Functional Wing</t>
  </si>
  <si>
    <t>Version</t>
  </si>
  <si>
    <t>L3 Process Group</t>
  </si>
  <si>
    <t>v1 - 2026-09-14</t>
  </si>
  <si>
    <t>Scope</t>
  </si>
  <si>
    <t>Journey</t>
  </si>
  <si>
    <t>Sales; Finance &amp; Accounts; SCM / Procurement / Commercial; Inventory &amp; Warehouse; Logistics; Production / Manufacturing; Quality Control; Human Resources.</t>
  </si>
  <si>
    <t>Representative L4 Sub-processes</t>
  </si>
  <si>
    <t>Functional Wings</t>
  </si>
  <si>
    <t>Important</t>
  </si>
  <si>
    <t>E2E Value Stream</t>
  </si>
  <si>
    <t>Design Pack</t>
  </si>
  <si>
    <t>Current State (Provisional)</t>
  </si>
  <si>
    <t>The registry is a taxonomy baseline. Current S-state and E-level fields are provisional until calibrated against production execution and outcome evidence.</t>
  </si>
  <si>
    <t>Provisional Evidence Review</t>
  </si>
  <si>
    <t>Target State (Provisional)</t>
  </si>
  <si>
    <t>Live Calibration</t>
  </si>
  <si>
    <t>Core Rule 1</t>
  </si>
  <si>
    <t>Provisional Current State</t>
  </si>
  <si>
    <t>Evidence Level (Provisional)</t>
  </si>
  <si>
    <t>Use one canonical process with organization/SBU variants instead of duplicating the same process per company.</t>
  </si>
  <si>
    <t>Provisional Evidence Level</t>
  </si>
  <si>
    <t>Calibration Status</t>
  </si>
  <si>
    <t>Calibration Readiness</t>
  </si>
  <si>
    <t>Management Note</t>
  </si>
  <si>
    <t>Core Rule 2</t>
  </si>
  <si>
    <t>Current Evidence Position</t>
  </si>
  <si>
    <t>Source Title</t>
  </si>
  <si>
    <t>Keep functional hierarchy (L0-L6) separate from horizontal end-to-end value streams.</t>
  </si>
  <si>
    <t>Next Action</t>
  </si>
  <si>
    <t>Source URL</t>
  </si>
  <si>
    <t>Primary Owner(s)</t>
  </si>
  <si>
    <t>Core Rule 3</t>
  </si>
  <si>
    <t>Primary Evidence Source</t>
  </si>
  <si>
    <t>SAL-01</t>
  </si>
  <si>
    <t>Transformation maturity should ultimately be measured at L5/L6 and rolled up to L3; L3 averages can hide human/manual decisions.</t>
  </si>
  <si>
    <t>AGI</t>
  </si>
  <si>
    <t>Last Updated</t>
  </si>
  <si>
    <t>Core Rule 4</t>
  </si>
  <si>
    <t>Canonical / all applicable SBUs</t>
  </si>
  <si>
    <t>Sales</t>
  </si>
  <si>
    <t>S5 agentic autonomy is not a universal target. The right target depends on business value, control criticality, safety, legal constraints, data quality and reversibility.</t>
  </si>
  <si>
    <t>Customer &amp; Channel Management</t>
  </si>
  <si>
    <t>Core Rule 5</t>
  </si>
  <si>
    <t>Order-to-Cash</t>
  </si>
  <si>
    <t>Customer onboarding; Customer Type; dealer/retailer/site relationship; lifecycle/status</t>
  </si>
  <si>
    <t>Sales → Inventory → Logistics → Finance</t>
  </si>
  <si>
    <t>Do not infer current maturity from BRD/FRD/SDD completeness, configuration, or schedule progress alone.</t>
  </si>
  <si>
    <t>O2C</t>
  </si>
  <si>
    <t>Complete</t>
  </si>
  <si>
    <t>Candidate S1-S2; calibration required</t>
  </si>
  <si>
    <t>Pending</t>
  </si>
  <si>
    <t>S2</t>
  </si>
  <si>
    <t>Registry Rows</t>
  </si>
  <si>
    <t>S1-S2 (provisional)</t>
  </si>
  <si>
    <t>E2</t>
  </si>
  <si>
    <t>E2 Candidate</t>
  </si>
  <si>
    <t>Not calibrated</t>
  </si>
  <si>
    <t>High</t>
  </si>
  <si>
    <t>Design/product/configuration evidence exists; require production usage/outcome evidence before E3/E4.</t>
  </si>
  <si>
    <t>Implementation/QA stabilization evidence exists; production execution baseline is not yet verified. The 33-field event schema, 59-activity dictionary, source mapping, extraction runbook, data-request pack, 15 quality gates, evidence-gated SBU selection matrix and intake tracker are now prepared for Wave 1.</t>
  </si>
  <si>
    <t>Business Process Mapping Document - Primary Sales_UPDATED_SDD</t>
  </si>
  <si>
    <t>Treat AOPL only as the provisional first-to-check. Issue its P0 requests DR-O2C-01/02/03/04/07/09/10, verify the latest complete 30-day Sales Eco→BC→Logistics→Finance chain, and select a pilot only after all 7 mandatory gates pass; if AOPL fails a gate, validate AGL next.</t>
  </si>
  <si>
    <t>Sales + Product + Finance + Logistics</t>
  </si>
  <si>
    <t>O2C Calibration Register; Source-to-Field Mapping; Extraction Runbook; Data Request Pack; Data Quality Gates; Pilot SBU Selection; Pilot Evidence Intake; BSES Jira</t>
  </si>
  <si>
    <t>https://docs.google.com/document/d/1IoV-RaOxb83z2IttGlRKy863G_pckAGUegBqnRkemgc/edit?usp=drivesdk</t>
  </si>
  <si>
    <t>2026-09-15</t>
  </si>
  <si>
    <t>SCM</t>
  </si>
  <si>
    <t>Source-to-Pay</t>
  </si>
  <si>
    <t>SCM → Inventory/QC → Finance</t>
  </si>
  <si>
    <t>E1-E2 Design Evidence</t>
  </si>
  <si>
    <t>Medium-High</t>
  </si>
  <si>
    <t>Detailed process catalogue and fit-gap/UAT evidence exist; actual production execution is not yet calibrated.</t>
  </si>
  <si>
    <t>Run evidence review and extract demand→vendor→RFQ→PO→GRN/QC→invoice→payment events once live evidence is available.</t>
  </si>
  <si>
    <t>SCM + ERP Team + Finance</t>
  </si>
  <si>
    <t>Signed SCM SDD; SCM BC annexes; S2P design pack</t>
  </si>
  <si>
    <t>2026-09-14</t>
  </si>
  <si>
    <t>Logistics</t>
  </si>
  <si>
    <t>Delivery-to-POD</t>
  </si>
  <si>
    <t>Sales → Logistics → Inventory → Finance</t>
  </si>
  <si>
    <t>Detailed logistics target process exists, including loading, gate, dispatch, POD and exception handling; live telemetry is not yet verified.</t>
  </si>
  <si>
    <t>Validate actual digital coverage from DO readiness through POD and reconciliation using live trip/dispatch events.</t>
  </si>
  <si>
    <t>Logistics + ERP/Product + Warehouse</t>
  </si>
  <si>
    <t>Logistics PRD/SDD; D2POD design pack</t>
  </si>
  <si>
    <t>HR</t>
  </si>
  <si>
    <t>Attendance-to-Payroll</t>
  </si>
  <si>
    <t>HR → Finance</t>
  </si>
  <si>
    <t>E1 Design Evidence</t>
  </si>
  <si>
    <t>HR scope, WBS, integrations and process requirements are defined; production attendance/payroll evidence has not been calibrated.</t>
  </si>
  <si>
    <t>Validate master data, attendance-device flow, payroll run, bank response and payroll→BC posting using consecutive payroll periods.</t>
  </si>
  <si>
    <t>HR + Payroll + Finance + ERP Team</t>
  </si>
  <si>
    <t>HR Module Project Management Annexes; A2P design pack</t>
  </si>
  <si>
    <t>Production</t>
  </si>
  <si>
    <t>Plan-to-Produce</t>
  </si>
  <si>
    <t>Planning → Production → QC → Inventory → Finance</t>
  </si>
  <si>
    <t>Medium</t>
  </si>
  <si>
    <t>Production process and AIL variant are mapped, but shop-floor, QC, genealogy, instrumentation and costing evidence still require live validation.</t>
  </si>
  <si>
    <t>Sample production orders end-to-end, including materials, operation events, QC, FG, scrap/by-product and costing reconciliation.</t>
  </si>
  <si>
    <t>Production + QC + Inventory + Finance + ERP Team</t>
  </si>
  <si>
    <t>Production BRD/Data Record; P2P design pack</t>
  </si>
  <si>
    <t>Finance</t>
  </si>
  <si>
    <t>Record-to-Report</t>
  </si>
  <si>
    <t>Finance / Accounting</t>
  </si>
  <si>
    <t>Registry baseline</t>
  </si>
  <si>
    <t>Finance SDD defines AP, AR, bank, FA, close and controls; no dedicated live R2R calibration wave has yet been run.</t>
  </si>
  <si>
    <t>Create R2R calibration pack and sample actual close, reconciliation, posting and reporting evidence.</t>
  </si>
  <si>
    <t>Finance + ERP Team</t>
  </si>
  <si>
    <t>04.5 Accounts &amp; Finance SDD; Process Registry</t>
  </si>
  <si>
    <t>SAL-02</t>
  </si>
  <si>
    <t>Quality Control</t>
  </si>
  <si>
    <t>Quality-to-Release</t>
  </si>
  <si>
    <t>QC → Production/Inventory</t>
  </si>
  <si>
    <t>Territory &amp; Sales Organization Management</t>
  </si>
  <si>
    <t>Territory hierarchy; salesperson assignment; RC assignment; organization/user access</t>
  </si>
  <si>
    <t>E1 Composite Evidence</t>
  </si>
  <si>
    <t>Low-Medium</t>
  </si>
  <si>
    <t>QC requirements are evidenced through Production and SCM artefacts; standalone QC operating evidence is incomplete.</t>
  </si>
  <si>
    <t>Create standalone QC discovery/calibration pack and validate incoming, in-process and final inspection evidence.</t>
  </si>
  <si>
    <t>QC + Production + SCM + ERP Team</t>
  </si>
  <si>
    <t>Production/SCM quality requirements; Process Registry</t>
  </si>
  <si>
    <t>Inventory / Warehouse</t>
  </si>
  <si>
    <t>Inventory-to-Fulfilment</t>
  </si>
  <si>
    <t>Inventory → Warehouse → Sales/Production/Logistics</t>
  </si>
  <si>
    <t>SAL-03</t>
  </si>
  <si>
    <t>E1-E2 Candidate</t>
  </si>
  <si>
    <t>Lead, Site &amp; Opportunity Management</t>
  </si>
  <si>
    <t>Site identification; influencer mapping; opportunity qualification; conversion/loss</t>
  </si>
  <si>
    <t>Inventory design covers item/location/bin, receipts, transfers, picks, counts, costing and reconciliation; operational migration/reconciliation evidence remains incomplete.</t>
  </si>
  <si>
    <t>L2O</t>
  </si>
  <si>
    <t>Create dedicated inventory calibration pack and validate stock accuracy, reservation, movement, cycle count and inventory→GL evidence.</t>
  </si>
  <si>
    <t>S3</t>
  </si>
  <si>
    <t>Inventory/Warehouse + Finance + ERP Team</t>
  </si>
  <si>
    <t>Inventory SDD; ERP plan/migration evidence; Process Registry</t>
  </si>
  <si>
    <t>Calibration Stage</t>
  </si>
  <si>
    <t>SAL-04</t>
  </si>
  <si>
    <t>Completed Waves</t>
  </si>
  <si>
    <t>Quotation Management</t>
  </si>
  <si>
    <t>Total Waves</t>
  </si>
  <si>
    <t>Quote creation; pricing; validity; approval; conversion</t>
  </si>
  <si>
    <t>Completion %</t>
  </si>
  <si>
    <t>Design Packs Complete</t>
  </si>
  <si>
    <t>SAL-05</t>
  </si>
  <si>
    <t>Order Management</t>
  </si>
  <si>
    <t>Customer order; Sales Order creation; validation; approval/rejection/resubmission</t>
  </si>
  <si>
    <t>SAL-06</t>
  </si>
  <si>
    <t>Pricing, Discount &amp; Commercial Control</t>
  </si>
  <si>
    <t>Price determination; discount; scheme; approval; exception</t>
  </si>
  <si>
    <t>SAL-07</t>
  </si>
  <si>
    <t>Credit Management</t>
  </si>
  <si>
    <t>Credit-limit check; RC-based credit; holds; override/escalation</t>
  </si>
  <si>
    <t>SAL-08</t>
  </si>
  <si>
    <t>Fulfilment Coordination</t>
  </si>
  <si>
    <t>DO initiation; DN status; partial delivery; substitution; outstanding balance</t>
  </si>
  <si>
    <t>O2C / I2F</t>
  </si>
  <si>
    <t>SAL-09</t>
  </si>
  <si>
    <t>Billing &amp; Invoice Coordination</t>
  </si>
  <si>
    <t>Invoice trigger; invoice reference; Sales Eco/BC status synchronization</t>
  </si>
  <si>
    <t>SAL-10</t>
  </si>
  <si>
    <t>Collection Management</t>
  </si>
  <si>
    <t>Money receipt; approval/rejection; ledger synchronization; reconciliation</t>
  </si>
  <si>
    <t>Live E3 Execution Calibration</t>
  </si>
  <si>
    <t>SAL-11</t>
  </si>
  <si>
    <t>Measured E4 Baseline</t>
  </si>
  <si>
    <t>Sales Return &amp; Adjustment</t>
  </si>
  <si>
    <t>Return request; DN validation; approval; inventory/financial adjustment</t>
  </si>
  <si>
    <t>Outcome E5 Verification</t>
  </si>
  <si>
    <t>SAL-12</t>
  </si>
  <si>
    <t>Field Execution &amp; Coverage</t>
  </si>
  <si>
    <t>Visits; retailer coverage; site activity; route/territory execution</t>
  </si>
  <si>
    <t>SAL-13</t>
  </si>
  <si>
    <t>Trade Marketing &amp; Scheme Management</t>
  </si>
  <si>
    <t>Schemes; incentives; campaign linkage; ROI</t>
  </si>
  <si>
    <t>SAL-14</t>
  </si>
  <si>
    <t>Sales Forecast, Target &amp; Performance</t>
  </si>
  <si>
    <t>Lifting forecast; collection projection; target attainment; territory performance</t>
  </si>
  <si>
    <t>FIN-01</t>
  </si>
  <si>
    <t>Finance &amp; Accounts</t>
  </si>
  <si>
    <t>General Ledger Management</t>
  </si>
  <si>
    <t>COA; dimensions; journals; recurring entries; posting control</t>
  </si>
  <si>
    <t>R2R</t>
  </si>
  <si>
    <t>TBD</t>
  </si>
  <si>
    <t>E1</t>
  </si>
  <si>
    <t>Design baseline only until BC transaction, close, reconciliation, adoption and control evidence are sampled.</t>
  </si>
  <si>
    <t>04.5-ACCOUNTS-FINANCE-SDD</t>
  </si>
  <si>
    <t>https://docs.google.com/document/d/1opp2b-tGrMR5YcZ5IZfIjdlIIbNANJ3pPrJsKcnq5Rs/edit?usp=drivesdk</t>
  </si>
  <si>
    <t>FIN-02</t>
  </si>
  <si>
    <t>Accounts Payable</t>
  </si>
  <si>
    <t>Vendor invoice; three-way match; approval; payable posting</t>
  </si>
  <si>
    <t>S2P</t>
  </si>
  <si>
    <t>S2/S3</t>
  </si>
  <si>
    <t>FIN-03</t>
  </si>
  <si>
    <t>Vendor Payment</t>
  </si>
  <si>
    <t>Payment proposal; approval; payment execution; settlement</t>
  </si>
  <si>
    <t>FIN-04</t>
  </si>
  <si>
    <t>Accounts Receivable</t>
  </si>
  <si>
    <t>Customer invoice; receipt application; aging; collections</t>
  </si>
  <si>
    <t>FIN-05</t>
  </si>
  <si>
    <t>Treasury &amp; Banking</t>
  </si>
  <si>
    <t>Bank receipt/payment; account selection; bank reconciliation</t>
  </si>
  <si>
    <t>Level</t>
  </si>
  <si>
    <t>Definition</t>
  </si>
  <si>
    <t>Example</t>
  </si>
  <si>
    <t>Rule</t>
  </si>
  <si>
    <t>FIN-06</t>
  </si>
  <si>
    <t>L0</t>
  </si>
  <si>
    <t>Enterprise</t>
  </si>
  <si>
    <t>Month-End &amp; Financial Close</t>
  </si>
  <si>
    <t>Single enterprise identity.</t>
  </si>
  <si>
    <t>Reconciliation; accrual; depreciation; trial balance; close</t>
  </si>
  <si>
    <t>L1</t>
  </si>
  <si>
    <t>Organization / SBU</t>
  </si>
  <si>
    <t>AIL / ACL / ACSL / AOPL / AGL</t>
  </si>
  <si>
    <t>Attach organization variants to canonical processes; do not duplicate taxonomy unnecessarily.</t>
  </si>
  <si>
    <t>L2</t>
  </si>
  <si>
    <t>Functional Wing</t>
  </si>
  <si>
    <t>Department / functional ownership view.</t>
  </si>
  <si>
    <t>L3</t>
  </si>
  <si>
    <t>Process Group</t>
  </si>
  <si>
    <t>Stable canonical process group used for management aggregation.</t>
  </si>
  <si>
    <t>FIN-07</t>
  </si>
  <si>
    <t>L4</t>
  </si>
  <si>
    <t>Sub-process</t>
  </si>
  <si>
    <t>Sales Order Processing</t>
  </si>
  <si>
    <t>Functional decomposition of L3.</t>
  </si>
  <si>
    <t>Fixed Asset Accounting</t>
  </si>
  <si>
    <t>State</t>
  </si>
  <si>
    <t>L5</t>
  </si>
  <si>
    <t>Acquisition; capitalization; depreciation; disposal</t>
  </si>
  <si>
    <t>Activity</t>
  </si>
  <si>
    <t>A2R</t>
  </si>
  <si>
    <t>Validate Sales Order</t>
  </si>
  <si>
    <t>Operational activity where human/system contribution can be measured.</t>
  </si>
  <si>
    <t>Name</t>
  </si>
  <si>
    <t>L6</t>
  </si>
  <si>
    <t>Task / Decision</t>
  </si>
  <si>
    <t>Typical Human Role</t>
  </si>
  <si>
    <t>Check customer, RC, price, credit, stock and approval</t>
  </si>
  <si>
    <t>Atomic task/decision for automation and control analysis.</t>
  </si>
  <si>
    <t>Important Guardrail</t>
  </si>
  <si>
    <t>FIN-08</t>
  </si>
  <si>
    <t>S0</t>
  </si>
  <si>
    <t>Dimension</t>
  </si>
  <si>
    <t>Manual / Fragmented</t>
  </si>
  <si>
    <t>Work is performed through paper, spreadsheets, email, phone, memory or disconnected tools.</t>
  </si>
  <si>
    <t>Examples</t>
  </si>
  <si>
    <t>Tax &amp; Statutory Accounting</t>
  </si>
  <si>
    <t>Performs most execution and decisions.</t>
  </si>
  <si>
    <t>VAT/tax treatment; reporting; statutory reconciliation</t>
  </si>
  <si>
    <t>Baseline only; identify control/data risks.</t>
  </si>
  <si>
    <t>S1</t>
  </si>
  <si>
    <t>Digitized / System of Record</t>
  </si>
  <si>
    <t>Horizontal process journey spanning multiple wings</t>
  </si>
  <si>
    <t>Process is captured in an approved system with structured data and traceability.</t>
  </si>
  <si>
    <t>Executes process in system.</t>
  </si>
  <si>
    <t>O2C; S2P; P2P; Q2R; I2F; D2POD; R2R; H2R</t>
  </si>
  <si>
    <t>Digitized does not mean automated or adopted.</t>
  </si>
  <si>
    <t>Use as a separate dimension rather than forcing an end-to-end journey into L3.</t>
  </si>
  <si>
    <t>Workflow / Rules Automated</t>
  </si>
  <si>
    <t>Canonical process variant</t>
  </si>
  <si>
    <t>Deterministic validations, routing, calculations, integrations and approvals are automated.</t>
  </si>
  <si>
    <t>Same process across legal entities/SBUs</t>
  </si>
  <si>
    <t>Handles exceptions and required approvals.</t>
  </si>
  <si>
    <t>AGI.SALES.ORDER.SALES_ORDER + AIL/ACL/AGL variants</t>
  </si>
  <si>
    <t>Rules and SoD remain explicit.</t>
  </si>
  <si>
    <t>FIN-09</t>
  </si>
  <si>
    <t>One canonical process, multiple organization-specific variants.</t>
  </si>
  <si>
    <t>AI-assisted / Copilot</t>
  </si>
  <si>
    <t>Budgeting &amp; Forecasting</t>
  </si>
  <si>
    <t>AI recommends, summarizes, predicts or detects anomalies while humans retain decision authority.</t>
  </si>
  <si>
    <t>Budget preparation; revision; forecast; variance analysis</t>
  </si>
  <si>
    <t>Reviews/accepts/rejects AI output.</t>
  </si>
  <si>
    <t>Plan-to-Performance</t>
  </si>
  <si>
    <t>Require evidence quality, explainability and human accountability.</t>
  </si>
  <si>
    <t>S4</t>
  </si>
  <si>
    <t>Agent-operated with Human Approval / Supervision</t>
  </si>
  <si>
    <t>Agent performs multi-step execution but material decisions/actions require human approval or active supervision.</t>
  </si>
  <si>
    <t>Approves/supervises exceptions and high-impact actions.</t>
  </si>
  <si>
    <t>Use only where controls, observability and rollback are adequate.</t>
  </si>
  <si>
    <t>S5</t>
  </si>
  <si>
    <t>FIN-10</t>
  </si>
  <si>
    <t>Agentic / Autonomous within Guardrails</t>
  </si>
  <si>
    <t>Agent autonomously executes an approved bounded process and escalates exceptions.</t>
  </si>
  <si>
    <t>Defines guardrails and handles escalations.</t>
  </si>
  <si>
    <t>Cost &amp; Profitability Accounting</t>
  </si>
  <si>
    <t>Not a universal target. Safety, financial, legal and control-critical processes may optimally stop at S2-S4.</t>
  </si>
  <si>
    <t>Product cost; cost-center allocation; margin/profitability</t>
  </si>
  <si>
    <t>FIN-11</t>
  </si>
  <si>
    <t>Employee Expense / Petty Cash</t>
  </si>
  <si>
    <t>Expense submission; approval; settlement; posting</t>
  </si>
  <si>
    <t>FIN-12</t>
  </si>
  <si>
    <t>Consolidation &amp; Intercompany</t>
  </si>
  <si>
    <t>Intercompany reconciliation; elimination; group consolidation</t>
  </si>
  <si>
    <t>FIN-13</t>
  </si>
  <si>
    <t>Financial Reporting &amp; Management Control</t>
  </si>
  <si>
    <t>Statements; aging; cash; variance; exception reporting</t>
  </si>
  <si>
    <t>SCM-01</t>
  </si>
  <si>
    <t>SCM / Procurement / Commercial</t>
  </si>
  <si>
    <t>Demand &amp; Requisition Planning</t>
  </si>
  <si>
    <t>Demand generation; PR creation; review; approval</t>
  </si>
  <si>
    <t>Strong signed design catalogue, but maturity must not be inferred from requirements alone.</t>
  </si>
  <si>
    <t>SCM - Signed SDD</t>
  </si>
  <si>
    <t>https://docs.google.com/document/d/127YQA_Z0zcKBMCFBa4ZgW_kmnExCMgfpheJ_DeoXFmw/edit?usp=drivesdk</t>
  </si>
  <si>
    <t>Minimum Evidence Standard</t>
  </si>
  <si>
    <t>Use in Management Reporting</t>
  </si>
  <si>
    <t>E0</t>
  </si>
  <si>
    <t>No evidence</t>
  </si>
  <si>
    <t>Statement, assumption or undocumented claim only.</t>
  </si>
  <si>
    <t>Do not use as maturity fact.</t>
  </si>
  <si>
    <t>Design evidence</t>
  </si>
  <si>
    <t>Approved BRD/FRD/SDD/process map/config specification.</t>
  </si>
  <si>
    <t>Shows intended design, not actual execution.</t>
  </si>
  <si>
    <t>Build / configuration evidence</t>
  </si>
  <si>
    <t>Priority</t>
  </si>
  <si>
    <t>Working build, configuration, test environment, UAT artifact, integration proof or prototype.</t>
  </si>
  <si>
    <t>Shows capability exists; adoption/production outcome not proven.</t>
  </si>
  <si>
    <t>E3</t>
  </si>
  <si>
    <t>Production execution evidence</t>
  </si>
  <si>
    <t>Production transactions/logs demonstrate process is live and repeatedly executed.</t>
  </si>
  <si>
    <t>Reason to Start</t>
  </si>
  <si>
    <t>Eligible for verified current-state reporting.</t>
  </si>
  <si>
    <t>Calibration Output</t>
  </si>
  <si>
    <t>E4</t>
  </si>
  <si>
    <t>Outcome / adoption evidence</t>
  </si>
  <si>
    <t>Usage/adoption metrics, cycle-time, exception, quality or productivity outcomes demonstrate operational value.</t>
  </si>
  <si>
    <t>Wave Status</t>
  </si>
  <si>
    <t>Eligible for realized-benefit reporting.</t>
  </si>
  <si>
    <t>E5</t>
  </si>
  <si>
    <t>Controlled / audited evidence</t>
  </si>
  <si>
    <t>Sustained outcomes plus verified control effectiveness, audit trail, governance and exception handling.</t>
  </si>
  <si>
    <t>Highest confidence for autonomous/agentic operating-state claims.</t>
  </si>
  <si>
    <t>SCM-02</t>
  </si>
  <si>
    <t>Vendor Lifecycle Management</t>
  </si>
  <si>
    <t>Register; qualify; approve; maintain; block</t>
  </si>
  <si>
    <t>SCM-03</t>
  </si>
  <si>
    <t>Sales -&gt; Inventory -&gt; Logistics -&gt; Finance</t>
  </si>
  <si>
    <t>Strongest existing digital footprint and clear management visibility.</t>
  </si>
  <si>
    <t>RFQ Management</t>
  </si>
  <si>
    <t>Actual process -&gt; systems -&gt; human touches -&gt; KPI baseline -&gt; S-state -&gt; E-level -&gt; friction -&gt; controls -&gt; target -&gt; opportunity -&gt; readiness -&gt; business case</t>
  </si>
  <si>
    <t>RFQ creation; release; vendor response; closure</t>
  </si>
  <si>
    <t>Wave 1 provisional evidence calibration completed; live production event extraction pending</t>
  </si>
  <si>
    <t>SCM -&gt; Inventory/QC -&gt; Finance</t>
  </si>
  <si>
    <t>Strong catalogue with material control and manual handoffs.</t>
  </si>
  <si>
    <t>Same calibration pack</t>
  </si>
  <si>
    <t>Wave 2 design pack created; execution calibration pending</t>
  </si>
  <si>
    <t>SCM-04</t>
  </si>
  <si>
    <t>Sales -&gt; Logistics -&gt; Inventory -&gt; Finance</t>
  </si>
  <si>
    <t>Highly visible manual-to-digital journey with measurable exceptions and reconciliation.</t>
  </si>
  <si>
    <t>Wave 3 design pack created; execution calibration pending</t>
  </si>
  <si>
    <t>Evaluation &amp; Sourcing Award</t>
  </si>
  <si>
    <t>Comparison; negotiation; split award; approval</t>
  </si>
  <si>
    <t>HR -&gt; Finance</t>
  </si>
  <si>
    <t>Clear measurable productivity, accuracy and control outcome.</t>
  </si>
  <si>
    <t>Wave 4 design pack created; execution calibration pending</t>
  </si>
  <si>
    <t>Sales/Planning -&gt; Production -&gt; QC -&gt; Inventory -&gt; Finance</t>
  </si>
  <si>
    <t>SCM-05</t>
  </si>
  <si>
    <t>High manufacturing transformation value; requires strong control discipline.</t>
  </si>
  <si>
    <t>Wave 5 design pack created; execution calibration pending</t>
  </si>
  <si>
    <t>Purchase Order Management</t>
  </si>
  <si>
    <t>PO create; approve; issue; amend; acknowledge</t>
  </si>
  <si>
    <t>SCM-06</t>
  </si>
  <si>
    <t>Inbound Procurement Control</t>
  </si>
  <si>
    <t>Arrival; Gatepass; QC handoff; GRN</t>
  </si>
  <si>
    <t>S2P / Q2R</t>
  </si>
  <si>
    <t>Field</t>
  </si>
  <si>
    <t>Purpose / Definition</t>
  </si>
  <si>
    <t>Level / Type</t>
  </si>
  <si>
    <t>Stable enterprise identifier for the canonical process.</t>
  </si>
  <si>
    <t>Control</t>
  </si>
  <si>
    <t>SCM-07</t>
  </si>
  <si>
    <t>L0-L6</t>
  </si>
  <si>
    <t>Hierarchical process decomposition from enterprise to task/decision.</t>
  </si>
  <si>
    <t>Taxonomy</t>
  </si>
  <si>
    <t>Purchase Invoice &amp; Payable Handoff</t>
  </si>
  <si>
    <t>E2E Value Stream ID</t>
  </si>
  <si>
    <t>Invoice; match; posting; finance handoff</t>
  </si>
  <si>
    <t>Horizontal cross-functional journey link.</t>
  </si>
  <si>
    <t>Organization</t>
  </si>
  <si>
    <t>Legal entity/SBU where variant executes.</t>
  </si>
  <si>
    <t>Process Variant</t>
  </si>
  <si>
    <t>Organization-specific method or policy variant.</t>
  </si>
  <si>
    <t>Business Process Owner</t>
  </si>
  <si>
    <t>SCM-08</t>
  </si>
  <si>
    <t>Accountable for business outcome.</t>
  </si>
  <si>
    <t>Governance</t>
  </si>
  <si>
    <t>Transformation Owner</t>
  </si>
  <si>
    <t>Purchase Returns &amp; Claims</t>
  </si>
  <si>
    <t>Accountable for transformation delivery.</t>
  </si>
  <si>
    <t>Reject; return; credit; claim settlement</t>
  </si>
  <si>
    <t>Control Owner</t>
  </si>
  <si>
    <t>Accountable for risk/control design and operation.</t>
  </si>
  <si>
    <t>Data Owner</t>
  </si>
  <si>
    <t>Accountable for source/master data quality.</t>
  </si>
  <si>
    <t>SCM-09</t>
  </si>
  <si>
    <t>System(s)</t>
  </si>
  <si>
    <t>Applications/services used by the process.</t>
  </si>
  <si>
    <t>Technology</t>
  </si>
  <si>
    <t>Commercial / EXIM</t>
  </si>
  <si>
    <t>System of Record</t>
  </si>
  <si>
    <t>PI; LC; shipment; docs; duty; landed cost; settlement</t>
  </si>
  <si>
    <t>Authoritative source of truth.</t>
  </si>
  <si>
    <t>Current State</t>
  </si>
  <si>
    <t>Verified S0-S5 maturity state.</t>
  </si>
  <si>
    <t>Maturity</t>
  </si>
  <si>
    <t>Target State</t>
  </si>
  <si>
    <t>Approved target S0-S5 operating state.</t>
  </si>
  <si>
    <t>SCM-10</t>
  </si>
  <si>
    <t>Evidence Level</t>
  </si>
  <si>
    <t>E0-E5 confidence in the maturity claim.</t>
  </si>
  <si>
    <t>Evidence</t>
  </si>
  <si>
    <t>Gatepass Management</t>
  </si>
  <si>
    <t>Human Dependency Index</t>
  </si>
  <si>
    <t>RGP/NRGP; approval; exit; return/closure</t>
  </si>
  <si>
    <t>Degree to which normal execution requires human effort/decision.</t>
  </si>
  <si>
    <t>S2P / I2F</t>
  </si>
  <si>
    <t>Metric</t>
  </si>
  <si>
    <t>Source Type</t>
  </si>
  <si>
    <t>Digital Adoption</t>
  </si>
  <si>
    <t>Share of process executions performed in approved digital system(s).</t>
  </si>
  <si>
    <t>Functional Wing / Use</t>
  </si>
  <si>
    <t>STP Rate</t>
  </si>
  <si>
    <t>URL</t>
  </si>
  <si>
    <t>Straight-through processing rate without manual intervention.</t>
  </si>
  <si>
    <t>Evidence Role</t>
  </si>
  <si>
    <t>Cycle Time</t>
  </si>
  <si>
    <t>SCM-11</t>
  </si>
  <si>
    <t>Project / design evidence</t>
  </si>
  <si>
    <t>Elapsed time from process start to end.</t>
  </si>
  <si>
    <t>Exception Rate</t>
  </si>
  <si>
    <t>Share of executions requiring exception handling.</t>
  </si>
  <si>
    <t>AGI ERP DIGITIZATION CONTROL TOWER</t>
  </si>
  <si>
    <t>Rework Rate</t>
  </si>
  <si>
    <t>Share requiring repeated/corrective processing.</t>
  </si>
  <si>
    <t>Supplier Performance</t>
  </si>
  <si>
    <t>Delivery; quality; price; service scorecard</t>
  </si>
  <si>
    <t>Control Pass Rate</t>
  </si>
  <si>
    <t>Share of executions meeting required controls without breach.</t>
  </si>
  <si>
    <t>Expected Benefit</t>
  </si>
  <si>
    <t>Approved business-case value.</t>
  </si>
  <si>
    <t>Value</t>
  </si>
  <si>
    <t>SCM-12</t>
  </si>
  <si>
    <t>Realized Benefit</t>
  </si>
  <si>
    <t>Verified outcome achieved after transformation.</t>
  </si>
  <si>
    <t>SCM Reporting &amp; Audit</t>
  </si>
  <si>
    <t>Opportunity Score</t>
  </si>
  <si>
    <t>Spend; exceptions; SLA; supplier analytics</t>
  </si>
  <si>
    <t>Prioritization score for transformation value.</t>
  </si>
  <si>
    <t>Prioritization</t>
  </si>
  <si>
    <t>Evidence-based enterprise transformation baseline — project completion is not treated as process maturity</t>
  </si>
  <si>
    <t>Readiness Score</t>
  </si>
  <si>
    <t>Ability to transform now considering data, system, control and adoption readiness.</t>
  </si>
  <si>
    <t>Next Intervention</t>
  </si>
  <si>
    <t>INV-01</t>
  </si>
  <si>
    <t>Next-best transformation action.</t>
  </si>
  <si>
    <t>Execution</t>
  </si>
  <si>
    <t>Owner / Due Date</t>
  </si>
  <si>
    <t>As of 14 Sep 2026 | Current evidence position: five calibration design packs complete; O2C provisionally reviewed as S1–S2 / E2 Candidate; no wave yet verified with E3+ production execution evidence.</t>
  </si>
  <si>
    <t>Inventory &amp; Warehouse</t>
  </si>
  <si>
    <t>Accountability for the next intervention.</t>
  </si>
  <si>
    <t>Item &amp; Inventory Master</t>
  </si>
  <si>
    <t>Item; category; UOM; attributes; barcode</t>
  </si>
  <si>
    <t>All</t>
  </si>
  <si>
    <t>Evidence Link</t>
  </si>
  <si>
    <t>Candidate S0-S1 transition</t>
  </si>
  <si>
    <t>Direct link to transaction/log/config/SOP/UAT/control evidence.</t>
  </si>
  <si>
    <t>E1-E2</t>
  </si>
  <si>
    <t>Migration/configuration and reconciliation evidence exists; operating maturity varies by process and organization.</t>
  </si>
  <si>
    <t>04.1-INVENTORY-MANAGEMENT-SDD</t>
  </si>
  <si>
    <t>https://docs.google.com/document/d/1eGvAn9ZvGrCKaBnvot_iqCkITzAsJlsNsOteIiyCT58/edit?usp=drivesdk</t>
  </si>
  <si>
    <t>CALIBRATION WAVES DESIGNED</t>
  </si>
  <si>
    <t>Baseline taxonomy and/or current-state evidence; does not by itself prove production maturity.</t>
  </si>
  <si>
    <t>PROVISIONAL EVIDENCE REVIEWS</t>
  </si>
  <si>
    <t>LIVE-CALIBRATED WAVES (E3+)</t>
  </si>
  <si>
    <t>O2C PILOT KPIs</t>
  </si>
  <si>
    <t>O2C EVENT SCHEMA FIELDS</t>
  </si>
  <si>
    <t>INV-02</t>
  </si>
  <si>
    <t>Location &amp; Bin Management</t>
  </si>
  <si>
    <t>Location; warehouse; bin; stock status</t>
  </si>
  <si>
    <t>I2F</t>
  </si>
  <si>
    <t>INV-03</t>
  </si>
  <si>
    <t>Inbound Receipt &amp; Put-away</t>
  </si>
  <si>
    <t>Receipt; QC status; put-away; bin placement</t>
  </si>
  <si>
    <t>INV-04</t>
  </si>
  <si>
    <t>Stock Transfer &amp; Internal Movement</t>
  </si>
  <si>
    <t>Transfer request; shipment; receipt; adjustment</t>
  </si>
  <si>
    <t>INV-05</t>
  </si>
  <si>
    <t>Picking &amp; Warehouse Shipment</t>
  </si>
  <si>
    <t>Pick; shipment preparation; issue</t>
  </si>
  <si>
    <t>INV-06</t>
  </si>
  <si>
    <t>Process Step ID</t>
  </si>
  <si>
    <t>Replenishment &amp; Reorder</t>
  </si>
  <si>
    <t>Reorder point; safety stock; demand generation</t>
  </si>
  <si>
    <t>L4 Sub-process</t>
  </si>
  <si>
    <t>L5 Activity</t>
  </si>
  <si>
    <t>L6 Task / Decision</t>
  </si>
  <si>
    <t>Primary System</t>
  </si>
  <si>
    <t>INV-07</t>
  </si>
  <si>
    <t>Human Role</t>
  </si>
  <si>
    <t>Cycle Counting &amp; Physical Inventory</t>
  </si>
  <si>
    <t>Automation Mode</t>
  </si>
  <si>
    <t>Count planning; counting; variance; approval</t>
  </si>
  <si>
    <t>Required Control</t>
  </si>
  <si>
    <t>Primary KPI</t>
  </si>
  <si>
    <t>Evidence Needed</t>
  </si>
  <si>
    <t>INV-08</t>
  </si>
  <si>
    <t>Inventory Adjustment &amp; Exception</t>
  </si>
  <si>
    <t>Positive/negative adjustment; reason; authorization</t>
  </si>
  <si>
    <t>O2C-001</t>
  </si>
  <si>
    <t>Customer Onboarding</t>
  </si>
  <si>
    <t>Capture customer request</t>
  </si>
  <si>
    <t>Validate required fields, Customer Type, organization and territory context</t>
  </si>
  <si>
    <t>5 / 5 design packs complete</t>
  </si>
  <si>
    <t>Sales Eco</t>
  </si>
  <si>
    <t>Sales Eco / BC approval status</t>
  </si>
  <si>
    <t>Org Admin</t>
  </si>
  <si>
    <t>INV-09</t>
  </si>
  <si>
    <t>Wave 1 O2C only</t>
  </si>
  <si>
    <t>Human + system validation</t>
  </si>
  <si>
    <t>Candidate S1-S2</t>
  </si>
  <si>
    <t>Production extraction has not started</t>
  </si>
  <si>
    <t>Mandatory fields; duplicate prevention; role access</t>
  </si>
  <si>
    <t>Digital onboarding rate</t>
  </si>
  <si>
    <t>Submitted customer transactions + validation/error logs</t>
  </si>
  <si>
    <t>Baseline values remain pending</t>
  </si>
  <si>
    <t>BMD Sales Eco System Integration with Business Central – Solution Design</t>
  </si>
  <si>
    <t>Inventory Valuation &amp; Costing</t>
  </si>
  <si>
    <t>33-field canonical event schema + 59 normalized O2C activities</t>
  </si>
  <si>
    <t>https://docs.google.com/document/d/1P3oTC3F9q076zLs0519cizrZSVzMfsoBl-hogIgGC10/edit</t>
  </si>
  <si>
    <t>Costing method; landed cost; valuation</t>
  </si>
  <si>
    <t>Logistics Module SDD</t>
  </si>
  <si>
    <t>https://docs.google.com/document/d/1doGDuain3lxIApXJtGNkRmL4FIkb1EphJ_IGoSFXJQ4/edit?usp=drivesdk</t>
  </si>
  <si>
    <t>INV-10</t>
  </si>
  <si>
    <t>Stock Movement &amp; Traceability</t>
  </si>
  <si>
    <t>Receipt/issue/transfer history; lot/serial</t>
  </si>
  <si>
    <t>TRANSFORMATION CALIBRATION PIPELINE</t>
  </si>
  <si>
    <t>INV-11</t>
  </si>
  <si>
    <t>1. Process Registry / Taxonomy</t>
  </si>
  <si>
    <t>Inventory Availability &amp; Reservation</t>
  </si>
  <si>
    <t>On-hand; available; committed; reserved</t>
  </si>
  <si>
    <t>O2C / P2P</t>
  </si>
  <si>
    <t>2. Calibration Design Packs</t>
  </si>
  <si>
    <t>INV-12</t>
  </si>
  <si>
    <t>3. Provisional Evidence Review</t>
  </si>
  <si>
    <t>Inventory Analytics</t>
  </si>
  <si>
    <t>Aging; slow/non-moving; turnover; accuracy</t>
  </si>
  <si>
    <t>4. Live E3 Calibration</t>
  </si>
  <si>
    <t>Provisional evidence calibration complete; live production evidence pending</t>
  </si>
  <si>
    <t>O2C-002</t>
  </si>
  <si>
    <t>Customer ERP Creation</t>
  </si>
  <si>
    <t>5. Verified E4/E5 Outcomes</t>
  </si>
  <si>
    <t>Create pending BC customer</t>
  </si>
  <si>
    <t>INV-13</t>
  </si>
  <si>
    <t>Call BC API, assign Customer No., block transactions pending approval</t>
  </si>
  <si>
    <t>Production / Manufacturing</t>
  </si>
  <si>
    <t>Sales Eco + Business Central</t>
  </si>
  <si>
    <t>Business Requirement Document: Production Module (AIL)</t>
  </si>
  <si>
    <t>Business Central</t>
  </si>
  <si>
    <t>System / Finance approver</t>
  </si>
  <si>
    <t>Inventory-to-GL Reconciliation</t>
  </si>
  <si>
    <t>https://docs.google.com/document/d/1JZeibH6jDWNLybYCgJMq-fEYwidL32H4_BTkQFD0Ozw/edit?usp=drivesdk</t>
  </si>
  <si>
    <t>Deterministic integration</t>
  </si>
  <si>
    <t>Inventory ledger; GL reconciliation; variance</t>
  </si>
  <si>
    <t>Candidate S2</t>
  </si>
  <si>
    <t>COMPLETE</t>
  </si>
  <si>
    <t>Idempotency; least-privilege integration user; audit trail</t>
  </si>
  <si>
    <t>Successful ERP creation rate</t>
  </si>
  <si>
    <t>API request/response, BC Customer record, integration log</t>
  </si>
  <si>
    <t>5 / 5 COMPLETE</t>
  </si>
  <si>
    <t>O2C-003</t>
  </si>
  <si>
    <t>LOG-01</t>
  </si>
  <si>
    <t>Sales / Finance</t>
  </si>
  <si>
    <t>1 / 5 COMPLETE</t>
  </si>
  <si>
    <t>Customer Approval</t>
  </si>
  <si>
    <t>Approve or reject customer</t>
  </si>
  <si>
    <t>Fulfilment Allocation</t>
  </si>
  <si>
    <t>Review customer, approve/reject, capture reason, unblock if approved</t>
  </si>
  <si>
    <t>Pending DO; source/location review; pre-commit</t>
  </si>
  <si>
    <t>0 / 5</t>
  </si>
  <si>
    <t>D2POD</t>
  </si>
  <si>
    <t>Mixed S0 -&gt; S1/S2</t>
  </si>
  <si>
    <t>Finance / authorized approver</t>
  </si>
  <si>
    <t>Human approval workflow</t>
  </si>
  <si>
    <t>Approval authority; blocked-until-approved; audit log</t>
  </si>
  <si>
    <t>Manual operating baseline is documented; product/system execution requires production verification.</t>
  </si>
  <si>
    <t>Customer approval cycle time</t>
  </si>
  <si>
    <t>Approval entries, customer status history, approver timestamps</t>
  </si>
  <si>
    <t>Enterprise L0-L6 taxonomy and process registry established</t>
  </si>
  <si>
    <t>O2C-004</t>
  </si>
  <si>
    <t>Price Master Governance</t>
  </si>
  <si>
    <t>O2C, S2P, D2POD, A2P and P2P packs complete</t>
  </si>
  <si>
    <t>Create and approve price proposal</t>
  </si>
  <si>
    <t>Route proposal through HOD, CMO, Accounts and Management; activate approved effective price</t>
  </si>
  <si>
    <t>Sales Eco / ERP</t>
  </si>
  <si>
    <t>Approved Price Master</t>
  </si>
  <si>
    <t>Sales Admin, HOD, CMO, Accounts, Management</t>
  </si>
  <si>
    <t>O2C evidence review completed provisionally</t>
  </si>
  <si>
    <t>Human approval + system workflow</t>
  </si>
  <si>
    <t>Versioning; effective date; mandatory comments on send-back/reject</t>
  </si>
  <si>
    <t>Requires production event extraction</t>
  </si>
  <si>
    <t>Price approval cycle time</t>
  </si>
  <si>
    <t>Proposal versions, approval audit, activated price history</t>
  </si>
  <si>
    <t>Business Requirement Document: Production Module (AIL) - composite QC evidence</t>
  </si>
  <si>
    <t>Requires measured baseline and verified business value</t>
  </si>
  <si>
    <t>https://docs.google.com/document/d/1IoV-RaOxb83z2IttGlRKy863G_pckAGUegBqnRkemgc/edit</t>
  </si>
  <si>
    <t>Human Resources</t>
  </si>
  <si>
    <t>hr_module_project_management_annexes_2026-07-18</t>
  </si>
  <si>
    <t>DEPARTMENTAL TRANSFORMATION PORTFOLIO</t>
  </si>
  <si>
    <t>https://docs.google.com/spreadsheets/d/1XfHiOhLTJvGO_VKHyitZ8ijc_og8feRt5wAfyi8PC48/edit?usp=drivesdk</t>
  </si>
  <si>
    <t>#</t>
  </si>
  <si>
    <t>LOG-02</t>
  </si>
  <si>
    <t>Evidence Review</t>
  </si>
  <si>
    <t>Trip Planning &amp; Consolidation</t>
  </si>
  <si>
    <t>DO grouping; stops; route; payload/capacity</t>
  </si>
  <si>
    <t>Current State / Evidence</t>
  </si>
  <si>
    <t>LOG-03</t>
  </si>
  <si>
    <t>Vehicle / Driver / Transporter Allocation</t>
  </si>
  <si>
    <t>Eligibility; capacity; availability; assignment</t>
  </si>
  <si>
    <t>ERP planning / status evidence</t>
  </si>
  <si>
    <t>Cross-functional</t>
  </si>
  <si>
    <t>O2C-005</t>
  </si>
  <si>
    <t>Erp planning final</t>
  </si>
  <si>
    <t>https://docs.google.com/spreadsheets/d/1umALedtbSDV1V9LXgayk7MjvL7B9ZnlNAHuD9wBdykM/edit?usp=drivesdk</t>
  </si>
  <si>
    <t>Sales Order Intake</t>
  </si>
  <si>
    <t>Create customer order / sales order</t>
  </si>
  <si>
    <t>LOG-04</t>
  </si>
  <si>
    <t>Select customer, item, quantity, UOM, delivery context and RC</t>
  </si>
  <si>
    <t>Sales Eco / Business Central</t>
  </si>
  <si>
    <t>Business Central for financial document</t>
  </si>
  <si>
    <t>Loading Management</t>
  </si>
  <si>
    <t>Sales user</t>
  </si>
  <si>
    <t>Loading advice; actual quantity; discrepancy</t>
  </si>
  <si>
    <t>Human entry + master-data validation</t>
  </si>
  <si>
    <t>Active customer; valid item/UOM; valid organization/RC</t>
  </si>
  <si>
    <t>Order digital adoption rate</t>
  </si>
  <si>
    <t>Order event log, user ID, source system, timestamp</t>
  </si>
  <si>
    <t>https://docs.google.com/document/d/1doGDuain3lxIApXJtGNkRmL4FIkb1EphJ_IGoSFXJQ4/edit</t>
  </si>
  <si>
    <t>LOG-05</t>
  </si>
  <si>
    <t>Gate &amp; Weighbridge Control</t>
  </si>
  <si>
    <t>Gate-in; weight; document checks; gate-out</t>
  </si>
  <si>
    <t>Timeline/status reference. Progress values should not be treated as verified process maturity without execution evidence.</t>
  </si>
  <si>
    <t>External reference</t>
  </si>
  <si>
    <t>Process taxonomy</t>
  </si>
  <si>
    <t>APQC Process Classification Framework (Cross Industry)</t>
  </si>
  <si>
    <t>LOG-06</t>
  </si>
  <si>
    <t>https://www.apqc.org/resource-library/resource-listing/apqc-process-classification-framework-pcf-cross-industry-pdf-13</t>
  </si>
  <si>
    <t>Dispatch &amp; In-Transit Execution</t>
  </si>
  <si>
    <t>Dispatch; route status; ETA; exception</t>
  </si>
  <si>
    <t>LOG-07</t>
  </si>
  <si>
    <t>Proof of Delivery</t>
  </si>
  <si>
    <t>Delivery confirmation; shortage/damage/reject; evidence</t>
  </si>
  <si>
    <t>O2C-006</t>
  </si>
  <si>
    <t>LOG-08</t>
  </si>
  <si>
    <t>Credit Eligibility</t>
  </si>
  <si>
    <t>Calculate customer exposure</t>
  </si>
  <si>
    <t>Combine outstanding AR and pending orders; compare with customer/RC credit limit</t>
  </si>
  <si>
    <t>Delivery Exception &amp; Return</t>
  </si>
  <si>
    <t>Exception disposition; ownership; return/recovery</t>
  </si>
  <si>
    <t>ICC / Finance</t>
  </si>
  <si>
    <t>Deterministic rule</t>
  </si>
  <si>
    <t>Credit limit enforced before order confirmation</t>
  </si>
  <si>
    <t>Credit auto-clear rate</t>
  </si>
  <si>
    <t>Credit limit, AR balance, pending order exposure, approval history</t>
  </si>
  <si>
    <t>https://docs.google.com/document/d/1opp2b-tGrMR5YcZ5IZfIjdlIIbNANJ3pPrJsKcnq5Rs/edit</t>
  </si>
  <si>
    <t>LOG-09</t>
  </si>
  <si>
    <t>External validation for hierarchical process taxonomy and customization approach.</t>
  </si>
  <si>
    <t>Trip Cost &amp; Transport Settlement</t>
  </si>
  <si>
    <t>Own/hired cost; rate; settlement; variance</t>
  </si>
  <si>
    <t>Process intelligence</t>
  </si>
  <si>
    <t>D2POD / R2R</t>
  </si>
  <si>
    <t>Microsoft Power Automate Process Mining overview</t>
  </si>
  <si>
    <t>https://learn.microsoft.com/en-us/power-automate/process-mining-overview</t>
  </si>
  <si>
    <t>LOG-10</t>
  </si>
  <si>
    <t>ERP Reconciliation</t>
  </si>
  <si>
    <t>Shipment; quantity; invoice/status reconciliation</t>
  </si>
  <si>
    <t>LOG-11</t>
  </si>
  <si>
    <t>Logistics Performance Management</t>
  </si>
  <si>
    <t>OTIF; utilization; dwell; cost; exception trends</t>
  </si>
  <si>
    <t>PRD-01</t>
  </si>
  <si>
    <t>O2C-007</t>
  </si>
  <si>
    <t>Production Demand &amp; Scheduling</t>
  </si>
  <si>
    <t>Demand; production plan; schedule; production order</t>
  </si>
  <si>
    <t>P2P</t>
  </si>
  <si>
    <t>Credit Exception Approval</t>
  </si>
  <si>
    <t>Mainly S0-S1 candidate</t>
  </si>
  <si>
    <t>Approve over-limit order</t>
  </si>
  <si>
    <t>Route exception to ICC / authorized approver based on policy</t>
  </si>
  <si>
    <t>External validation for event-log-based process discovery, variants, bottlenecks and automation opportunity analysis.</t>
  </si>
  <si>
    <t>BRD/current-state evidence exists; shop-floor execution, posting, instrumentation and adoption must be verified.</t>
  </si>
  <si>
    <t>ICC / Finance approver</t>
  </si>
  <si>
    <t>Manufacturing</t>
  </si>
  <si>
    <t>Human exception approval</t>
  </si>
  <si>
    <t>Microsoft Business Central - Production Orders</t>
  </si>
  <si>
    <t>https://learn.microsoft.com/en-us/dynamics365/business-central/production-about-production-orders</t>
  </si>
  <si>
    <t>No bypass; approval trail; authority limits</t>
  </si>
  <si>
    <t>Credit approval cycle time</t>
  </si>
  <si>
    <t>Approval request, decision, comments, timestamps</t>
  </si>
  <si>
    <t>O2C-008</t>
  </si>
  <si>
    <t>Commercial Validation</t>
  </si>
  <si>
    <t>Apply price / discount</t>
  </si>
  <si>
    <t>Resolve standard/promotional/negotiated price and determine approval need</t>
  </si>
  <si>
    <t>Approved Price Master / BC order</t>
  </si>
  <si>
    <t>Sales user / approver</t>
  </si>
  <si>
    <t>Rules + human exception approval</t>
  </si>
  <si>
    <t>Approved price source; controlled discount threshold</t>
  </si>
  <si>
    <t>Manual discount exception rate</t>
  </si>
  <si>
    <t>Order price source, discount %, approver trail</t>
  </si>
  <si>
    <t>O2C-009</t>
  </si>
  <si>
    <t>Inventory / Sales</t>
  </si>
  <si>
    <t>Availability Check</t>
  </si>
  <si>
    <t>Check stock across warehouses</t>
  </si>
  <si>
    <t>Determine available/committed/reserved quantity and eligible source location</t>
  </si>
  <si>
    <t>System / inventory planner</t>
  </si>
  <si>
    <t>No negative inventory; valid warehouse/location</t>
  </si>
  <si>
    <t>External validation for production order, BOM, routing, work/machine center concepts.</t>
  </si>
  <si>
    <t>Stock check success rate</t>
  </si>
  <si>
    <t>Inventory availability snapshot, reservation entries</t>
  </si>
  <si>
    <t>Project / delivery evidence</t>
  </si>
  <si>
    <t>SCM / Procurement</t>
  </si>
  <si>
    <t>SCM_Business_Central_Project_Annexes</t>
  </si>
  <si>
    <t>https://docs.google.com/spreadsheets/d/1laHtFEUFbm3VAheUpIXssk8dKZ9sCiNyWZ7nC5wg9Es/edit</t>
  </si>
  <si>
    <t>O2C-010</t>
  </si>
  <si>
    <t>Stock Reservation</t>
  </si>
  <si>
    <t>Reserve inventory</t>
  </si>
  <si>
    <t>Reserve stock against confirmed order and release on cancellation/expiry</t>
  </si>
  <si>
    <t>System</t>
  </si>
  <si>
    <t>Deterministic automation</t>
  </si>
  <si>
    <t>Reservation tied to confirmed order; release rule</t>
  </si>
  <si>
    <t>PRD-02</t>
  </si>
  <si>
    <t>Reservation automation rate</t>
  </si>
  <si>
    <t>Reservation entries, release events, allocation logs</t>
  </si>
  <si>
    <t>Production Master Data</t>
  </si>
  <si>
    <t>BOM; recipe; routing; work/machine center</t>
  </si>
  <si>
    <t>PRD-03</t>
  </si>
  <si>
    <t>O2C-011</t>
  </si>
  <si>
    <t>Sales / Logistics</t>
  </si>
  <si>
    <t>Delivery Order Generation</t>
  </si>
  <si>
    <t>Material Readiness &amp; Allocation</t>
  </si>
  <si>
    <t>Generate one or more DOs from SO</t>
  </si>
  <si>
    <t>Material check; reservation; issue preparation</t>
  </si>
  <si>
    <t>Create scheduled/partial DOs while preserving parent SO and remaining balance</t>
  </si>
  <si>
    <t>Fit-gap, UAT and implementation evidence. Not production-maturity proof unless supported by executed tests/transactions.</t>
  </si>
  <si>
    <t>Business Central / Logistics App</t>
  </si>
  <si>
    <t>Sales / logistics planner</t>
  </si>
  <si>
    <t>Business Central sales integration</t>
  </si>
  <si>
    <t>Rules + human scheduling</t>
  </si>
  <si>
    <t>Microsoft Learn - Manage customers using Dynamics 365 Sales - Business Central</t>
  </si>
  <si>
    <t>DO must reference SO; outstanding quantity cannot be exceeded</t>
  </si>
  <si>
    <t>SO-to-DO cycle time</t>
  </si>
  <si>
    <t>https://learn.microsoft.com/en-us/dynamics365/business-central/marketing-integrate-dynamicscrm</t>
  </si>
  <si>
    <t>SO/DO references, quantity balances, timestamps</t>
  </si>
  <si>
    <t>PRD-04</t>
  </si>
  <si>
    <t>O2C-012</t>
  </si>
  <si>
    <t>Raw Material Preparation</t>
  </si>
  <si>
    <t>Receive/sort/weigh/prepare production material</t>
  </si>
  <si>
    <t>Delivery Source Selection</t>
  </si>
  <si>
    <t>Select factory/depot/warehouse</t>
  </si>
  <si>
    <t>Resolve source based on inventory, delivery point, urgency and authority</t>
  </si>
  <si>
    <t>Logistics App / Business Central</t>
  </si>
  <si>
    <t>Business Central inventory/location</t>
  </si>
  <si>
    <t>Logistics planner</t>
  </si>
  <si>
    <t>Human + rule-assisted</t>
  </si>
  <si>
    <t>Mixed S0-S1/S2</t>
  </si>
  <si>
    <t>PRD-05</t>
  </si>
  <si>
    <t>Validates sales-order transfer, posted invoice flow, and payment status concepts in Business Central.</t>
  </si>
  <si>
    <t>Business Central partial fulfilment</t>
  </si>
  <si>
    <t>Valid source; authority matrix; inventory feasibility</t>
  </si>
  <si>
    <t>Microsoft Learn - Process partial shipments - Business Central</t>
  </si>
  <si>
    <t>Melting / Furnace Execution</t>
  </si>
  <si>
    <t>Charge; melt; furnace batch; chemistry adjustment</t>
  </si>
  <si>
    <t>https://learn.microsoft.com/lb-lu/Dynamics365/business-central/sales-how-send-partial-shipments</t>
  </si>
  <si>
    <t>Manual source override rate</t>
  </si>
  <si>
    <t>Allocation decision, source location, stock evidence</t>
  </si>
  <si>
    <t>PRD-06</t>
  </si>
  <si>
    <t>Casting &amp; Billet Production</t>
  </si>
  <si>
    <t>Ladle; CCM; casting; billet cutting</t>
  </si>
  <si>
    <t>PRD-07</t>
  </si>
  <si>
    <t>O2C-013</t>
  </si>
  <si>
    <t>Rolling &amp; TMT</t>
  </si>
  <si>
    <t>Reheat; rolling stands; quench/TMT</t>
  </si>
  <si>
    <t>Trip Planning</t>
  </si>
  <si>
    <t>Group delivery orders into trip</t>
  </si>
  <si>
    <t>Consolidate DOs, define stops, payload, sequence and route</t>
  </si>
  <si>
    <t>Logistics App</t>
  </si>
  <si>
    <t>Logistics App + BC references</t>
  </si>
  <si>
    <t>PRD-08</t>
  </si>
  <si>
    <t>Human planning; candidate optimization</t>
  </si>
  <si>
    <t>Finishing &amp; Bundling</t>
  </si>
  <si>
    <t>Cooling; cutting; count; bundle</t>
  </si>
  <si>
    <t>Capacity; route feasibility; DO eligibility</t>
  </si>
  <si>
    <t>Trip consolidation rate</t>
  </si>
  <si>
    <t>Trip plan, DO membership, route/stops, planner events</t>
  </si>
  <si>
    <t>PRD-09</t>
  </si>
  <si>
    <t>O2C-014</t>
  </si>
  <si>
    <t>Validates partial shipment/invoice linkage and shipment-before-invoice behavior for sales orders.</t>
  </si>
  <si>
    <t>WIP &amp; Consumption Management</t>
  </si>
  <si>
    <t>WIP status; BOM consumption; variance</t>
  </si>
  <si>
    <t>Vehicle Assignment</t>
  </si>
  <si>
    <t>Business Central receivables</t>
  </si>
  <si>
    <t>Assign eligible vehicle and driver</t>
  </si>
  <si>
    <t>Microsoft Learn - Review and apply payments after automatic application</t>
  </si>
  <si>
    <t>Check vehicle capacity, permits, driver validity and availability</t>
  </si>
  <si>
    <t>Rules + human assignment</t>
  </si>
  <si>
    <t>PRD-10</t>
  </si>
  <si>
    <t>https://learn.microsoft.com/en-us/dynamics365/business-central/receivables-how-review-apply-payments-auto-application</t>
  </si>
  <si>
    <t>No overloading; valid driver/license; valid vehicle documents</t>
  </si>
  <si>
    <t>Finished Output &amp; Inventory Handoff</t>
  </si>
  <si>
    <t>Vehicle utilization rate</t>
  </si>
  <si>
    <t>Output posting; FG identification; inventory receipt</t>
  </si>
  <si>
    <t>Assignment log, eligibility checks, vehicle/driver master</t>
  </si>
  <si>
    <t>P2P / I2F</t>
  </si>
  <si>
    <t>O2C-015</t>
  </si>
  <si>
    <t>Logistics / Warehouse</t>
  </si>
  <si>
    <t>PRD-11</t>
  </si>
  <si>
    <t>Loading Preparation</t>
  </si>
  <si>
    <t>Generate loading advice / picking instruction</t>
  </si>
  <si>
    <t>Create executable loading instructions against DO and inventory location</t>
  </si>
  <si>
    <t>Waste / Scrap / By-product Management</t>
  </si>
  <si>
    <t>Loss; end cut; scale; dust; reusable/salable by-product</t>
  </si>
  <si>
    <t>Warehouse / logistics</t>
  </si>
  <si>
    <t>System-generated + human execution</t>
  </si>
  <si>
    <t>DO reference; quantity limits; source bin/location</t>
  </si>
  <si>
    <t>DO-to-loading cycle time</t>
  </si>
  <si>
    <t>Loading advice, picking data, quantities, timestamps</t>
  </si>
  <si>
    <t>PRD-12</t>
  </si>
  <si>
    <t>Production Performance &amp; Cost</t>
  </si>
  <si>
    <t>Yield; downtime; consumption; efficiency; production cost</t>
  </si>
  <si>
    <t>O2C-016</t>
  </si>
  <si>
    <t>Loading Execution</t>
  </si>
  <si>
    <t>Confirm actual loaded quantity</t>
  </si>
  <si>
    <t>Record actual quantity and discrepancy against DO/loading advice</t>
  </si>
  <si>
    <t>Logistics App / BC posted shipment</t>
  </si>
  <si>
    <t>Warehouse / loading team</t>
  </si>
  <si>
    <t>Human execution + digital capture</t>
  </si>
  <si>
    <t>QC-01</t>
  </si>
  <si>
    <t>Mixed S0-S1</t>
  </si>
  <si>
    <t>Cannot exceed authorized quantity; discrepancy reason required</t>
  </si>
  <si>
    <t>Loading accuracy</t>
  </si>
  <si>
    <t>Quality Master &amp; Standards</t>
  </si>
  <si>
    <t>Actual load events, discrepancy codes, user/timestamp</t>
  </si>
  <si>
    <t>Specs; tolerances; test standards; sampling plans</t>
  </si>
  <si>
    <t>Q2R</t>
  </si>
  <si>
    <t>TBD; likely S0-S1</t>
  </si>
  <si>
    <t>E1 composite</t>
  </si>
  <si>
    <t>Validates automatic payment application with manual review/exception handling.</t>
  </si>
  <si>
    <t>O2C-017</t>
  </si>
  <si>
    <t>QC is inferred from Production/SCM evidence; standalone QC discovery/evidence pack is required.</t>
  </si>
  <si>
    <t>Gate Release</t>
  </si>
  <si>
    <t>Logistics / Delivery-to-POD</t>
  </si>
  <si>
    <t>Validate documents and release vehicle</t>
  </si>
  <si>
    <t>Confirm gate/loading/vehicle controls and record gate-out</t>
  </si>
  <si>
    <t>LogisticsDistributionPRDv1_2.md</t>
  </si>
  <si>
    <t>QC-02</t>
  </si>
  <si>
    <t>Gate / logistics</t>
  </si>
  <si>
    <t>Human control + digital record</t>
  </si>
  <si>
    <t>Incoming Material Inspection</t>
  </si>
  <si>
    <t>Sampling; test; accept/hold/reject</t>
  </si>
  <si>
    <t>No gate-out without required document and loading completion</t>
  </si>
  <si>
    <t>Gate dwell time</t>
  </si>
  <si>
    <t>Gate event, vehicle, document status, timestamp</t>
  </si>
  <si>
    <t>QC-03</t>
  </si>
  <si>
    <t>O2C-018</t>
  </si>
  <si>
    <t>Dispatch</t>
  </si>
  <si>
    <t>In-Process Quality Control</t>
  </si>
  <si>
    <t>Start trip / shipment</t>
  </si>
  <si>
    <t>Production-stage checks; chemistry; process compliance</t>
  </si>
  <si>
    <t>P2P / Q2R</t>
  </si>
  <si>
    <t>Set shipment status to dispatched/in transit and maintain route status</t>
  </si>
  <si>
    <t>Logistics operator / driver</t>
  </si>
  <si>
    <t>Digital status + human/telematics input</t>
  </si>
  <si>
    <t>Valid trip, vehicle and loaded DOs</t>
  </si>
  <si>
    <t>Dispatch-on-time rate</t>
  </si>
  <si>
    <t>QC-04</t>
  </si>
  <si>
    <t>Dispatch timestamp, status history, GPS if available</t>
  </si>
  <si>
    <t>Finished Goods Testing</t>
  </si>
  <si>
    <t>Physical testing; dimensional/strength checks</t>
  </si>
  <si>
    <t>O2C-019</t>
  </si>
  <si>
    <t>Delivery Confirmation</t>
  </si>
  <si>
    <t>QC-05</t>
  </si>
  <si>
    <t>Capture POD</t>
  </si>
  <si>
    <t>Quality Hold &amp; Release</t>
  </si>
  <si>
    <t>Hold; review; release; GRN/FG disposition</t>
  </si>
  <si>
    <t>Confirm delivered quantity/time; capture signature/photo and exception details</t>
  </si>
  <si>
    <t>Logistics App / BC delivery status</t>
  </si>
  <si>
    <t>Driver / delivery recipient / logistics</t>
  </si>
  <si>
    <t>Human confirmation + digital evidence</t>
  </si>
  <si>
    <t>Delivery evidence required; shortage/damage/reject reason mandatory</t>
  </si>
  <si>
    <t>POD capture rate</t>
  </si>
  <si>
    <t>QC-06</t>
  </si>
  <si>
    <t>POD, delivered qty, recipient, timestamp, exception evidence</t>
  </si>
  <si>
    <t>Nonconformance Management</t>
  </si>
  <si>
    <t>NCR; rejection; deviation; rework; scrap</t>
  </si>
  <si>
    <t>O2C-020</t>
  </si>
  <si>
    <t>Logistics / Inventory</t>
  </si>
  <si>
    <t>Delivery Exception</t>
  </si>
  <si>
    <t>Resolve partial, shortage, damage or rejection</t>
  </si>
  <si>
    <t>Record exception, ownership, return/recovery action and undelivered balance</t>
  </si>
  <si>
    <t>Business Central for inventory/financial effect</t>
  </si>
  <si>
    <t>QC-07</t>
  </si>
  <si>
    <t>Logistics / warehouse / sales</t>
  </si>
  <si>
    <t>Human exception handling</t>
  </si>
  <si>
    <t>Quality Evidence &amp; Certification</t>
  </si>
  <si>
    <t>Test result; certificate; batch/heat traceability</t>
  </si>
  <si>
    <t>https://docs.google.com/document/d/1MLBiWLQcWNHzTkK6WuJz3X2Q1hUG8Z1RLys1HNpkLkA/edit</t>
  </si>
  <si>
    <t>Exception reason; quantity reconciliation; approval where required</t>
  </si>
  <si>
    <t>Delivery exception rate</t>
  </si>
  <si>
    <t>QC-08</t>
  </si>
  <si>
    <t>Exception record, return document, balance reconciliation</t>
  </si>
  <si>
    <t>Quality Analytics</t>
  </si>
  <si>
    <t>Defect; rejection; variation; trend/anomaly</t>
  </si>
  <si>
    <t>O2C-021</t>
  </si>
  <si>
    <t>Finance / Sales</t>
  </si>
  <si>
    <t>Invoice Generation</t>
  </si>
  <si>
    <t>HR-01</t>
  </si>
  <si>
    <t>Generate/post customer invoice</t>
  </si>
  <si>
    <t>Create invoice from delivery confirmation and post AR/revenue/tax</t>
  </si>
  <si>
    <t>Employee &amp; Organization Master</t>
  </si>
  <si>
    <t>Employee; BU; department; designation; position; reporting</t>
  </si>
  <si>
    <t>H2R</t>
  </si>
  <si>
    <t>System / Finance</t>
  </si>
  <si>
    <t>Deterministic posting</t>
  </si>
  <si>
    <t>Discovery/annex baseline exists; current partner build, production use and payroll execution need evidence.</t>
  </si>
  <si>
    <t>Invoice only after eligible delivery confirmation; posting validation</t>
  </si>
  <si>
    <t>Delivery-to-invoice cycle time</t>
  </si>
  <si>
    <t>Posted invoice, shipment/DN reference, GL entries</t>
  </si>
  <si>
    <t>Detailed logistics product/process evidence for allocation, trip planning, loading, dispatch, in-transit execution, POD, exceptions and settlement. Design evidence until production transactions are validated.</t>
  </si>
  <si>
    <t>O2C-022</t>
  </si>
  <si>
    <t>Business Central warehouse / outbound fulfilment</t>
  </si>
  <si>
    <t>Microsoft Learn - Outbound Warehouse Flow</t>
  </si>
  <si>
    <t>https://learn.microsoft.com/en-us/dynamics365/business-central/design-details-outbound-warehouse-flow</t>
  </si>
  <si>
    <t>Invoice Validation</t>
  </si>
  <si>
    <t>Validate posted invoice</t>
  </si>
  <si>
    <t>Confirm customer, quantity, price, tax, dimensions and document references</t>
  </si>
  <si>
    <t>System controls + finance oversight</t>
  </si>
  <si>
    <t>Duplicate prevention; open period; valid dimensions; tax rules</t>
  </si>
  <si>
    <t>Invoice accuracy</t>
  </si>
  <si>
    <t>Posted invoice, exception/reversal log, audit trail</t>
  </si>
  <si>
    <t>O2C-023</t>
  </si>
  <si>
    <t>HR-02</t>
  </si>
  <si>
    <t>Payment Collection</t>
  </si>
  <si>
    <t>Time &amp; Attendance</t>
  </si>
  <si>
    <t>Record customer payment</t>
  </si>
  <si>
    <t>Clock; shift; roster; overtime; correction</t>
  </si>
  <si>
    <t>Create receipt with bank/cash reference and customer attribution</t>
  </si>
  <si>
    <t>Business Central / Sales Eco collection</t>
  </si>
  <si>
    <t>Collection / Finance</t>
  </si>
  <si>
    <t>Human entry + system posting</t>
  </si>
  <si>
    <t>Authorized bank account; valid customer; segregation of duties</t>
  </si>
  <si>
    <t>HR-03</t>
  </si>
  <si>
    <t>Digital receipt rate</t>
  </si>
  <si>
    <t>Validates outbound source-to-warehouse shipment/pick/ship concepts used in Delivery-to-POD decomposition.</t>
  </si>
  <si>
    <t>Receipt, bank reference, user/timestamp, GL entry</t>
  </si>
  <si>
    <t>Leave Management</t>
  </si>
  <si>
    <t>Request; accrual; approval; carry-forward; encashment</t>
  </si>
  <si>
    <t>https://learn.microsoft.com/en-us/dynamics365/business-central/sales-how-send-partial-shipments</t>
  </si>
  <si>
    <t>O2C-024</t>
  </si>
  <si>
    <t>Payment Application</t>
  </si>
  <si>
    <t>HR-04</t>
  </si>
  <si>
    <t>Apply receipt to invoice</t>
  </si>
  <si>
    <t>Match customer payment to open invoice(s) and clear AR</t>
  </si>
  <si>
    <t>Payroll</t>
  </si>
  <si>
    <t>Payroll calendar; earning; deduction; retro; calculation</t>
  </si>
  <si>
    <t>Rules + human exception resolution</t>
  </si>
  <si>
    <t>No duplicate application; residual/overpayment controlled</t>
  </si>
  <si>
    <t>Auto-application rate</t>
  </si>
  <si>
    <t>Customer ledger application entries, unapplied balance</t>
  </si>
  <si>
    <t>HR-05</t>
  </si>
  <si>
    <t>Statutory / Benefits</t>
  </si>
  <si>
    <t>O2C-025</t>
  </si>
  <si>
    <t>Tax; PF; gratuity; loans; statutory calculation</t>
  </si>
  <si>
    <t>Collections &amp; Aging</t>
  </si>
  <si>
    <t>Monitor overdue receivables</t>
  </si>
  <si>
    <t>Age open invoices, trigger reminders/holds/escalation based on policy</t>
  </si>
  <si>
    <t>Business Central / BI</t>
  </si>
  <si>
    <t>Validates partial shipment quantities and shipment/invoice relationships used in delivery balance controls.</t>
  </si>
  <si>
    <t>AR / Finance / Sales</t>
  </si>
  <si>
    <t>Rules + human collection action</t>
  </si>
  <si>
    <t>HR-06</t>
  </si>
  <si>
    <t>Production / Quality / Shop-floor</t>
  </si>
  <si>
    <t>Production Module_ Data Record</t>
  </si>
  <si>
    <t>Aging policy; controlled credit hold and escalation</t>
  </si>
  <si>
    <t>Employee Lifecycle</t>
  </si>
  <si>
    <t>https://docs.google.com/spreadsheets/d/1VsC-rDy7XjB-_T2TIvw1F7HsHZ3bJwqTPLn67xD0pMM/edit</t>
  </si>
  <si>
    <t>DSO / overdue ratio</t>
  </si>
  <si>
    <t>Transfer; promotion; confirmation; increment; separation</t>
  </si>
  <si>
    <t>Aging ledger, reminder/escalation events, credit-hold history</t>
  </si>
  <si>
    <t>HR-07</t>
  </si>
  <si>
    <t>O2C-026</t>
  </si>
  <si>
    <t>Sales / Logistics / Finance</t>
  </si>
  <si>
    <t>ESS / MSS</t>
  </si>
  <si>
    <t>Employee requests; manager action; self-service</t>
  </si>
  <si>
    <t>Sales Return</t>
  </si>
  <si>
    <t>Create return against DN/invoice</t>
  </si>
  <si>
    <t>Validate customer and source document; record returned quantity/reason</t>
  </si>
  <si>
    <t>Sales / logistics / finance</t>
  </si>
  <si>
    <t>Human request + controlled workflow</t>
  </si>
  <si>
    <t>HR-08</t>
  </si>
  <si>
    <t>DN/invoice ownership validation; quantity cap; approval</t>
  </si>
  <si>
    <t>Return rate</t>
  </si>
  <si>
    <t>HR Approval &amp; Delegation</t>
  </si>
  <si>
    <t>Return order, source DN/invoice, approval, reason</t>
  </si>
  <si>
    <t>Workflow; substitute; escalation; authority</t>
  </si>
  <si>
    <t>Detailed AIL/ACL production-stage data fields, QC reporting, routing/operation concepts and proposed Dynamics fit; design/discovery evidence only until actual production transactions are validated.</t>
  </si>
  <si>
    <t>Business Central manufacturing</t>
  </si>
  <si>
    <t>Microsoft Learn - Manufacturing overview</t>
  </si>
  <si>
    <t>https://learn.microsoft.com/en-us/dynamics365/business-central/production-manage-manufacturing</t>
  </si>
  <si>
    <t>O2C-027</t>
  </si>
  <si>
    <t>Inventory / Finance</t>
  </si>
  <si>
    <t>Return Posting</t>
  </si>
  <si>
    <t>Post inventory and financial adjustment</t>
  </si>
  <si>
    <t>HR-09</t>
  </si>
  <si>
    <t>Receive/inspect returned goods, update inventory, credit customer where applicable</t>
  </si>
  <si>
    <t>Warehouse / Finance</t>
  </si>
  <si>
    <t>Payroll-to-Finance</t>
  </si>
  <si>
    <t>Deterministic posting + human inspection</t>
  </si>
  <si>
    <t>Posting; dimensions; reconciliation</t>
  </si>
  <si>
    <t>H2R / R2R</t>
  </si>
  <si>
    <t>Disposition evidence; authorized credit/adjustment</t>
  </si>
  <si>
    <t>Return-to-adjustment cycle time</t>
  </si>
  <si>
    <t>Receipt/return ledger, credit memo, inventory posting</t>
  </si>
  <si>
    <t>HR-10</t>
  </si>
  <si>
    <t>HR Reporting &amp; Analytics</t>
  </si>
  <si>
    <t>Headcount; attendance; payroll; workforce analytics</t>
  </si>
  <si>
    <t>O2C-028</t>
  </si>
  <si>
    <t>O2C Reconciliation</t>
  </si>
  <si>
    <t>Document Chain Reconciliation</t>
  </si>
  <si>
    <t>Reconcile CO/SO/DO/DN/Invoice/Return/Receipt</t>
  </si>
  <si>
    <t>Confirm reference completeness, quantities, amounts and status consistency across systems</t>
  </si>
  <si>
    <t>Business Central + Sales Eco + Logistics App</t>
  </si>
  <si>
    <t>Business Central financial truth</t>
  </si>
  <si>
    <t>HR-11</t>
  </si>
  <si>
    <t>Finance / product operations</t>
  </si>
  <si>
    <t>Candidate S1</t>
  </si>
  <si>
    <t>Performance Management</t>
  </si>
  <si>
    <t>Stable cross-document keys; unmatched exceptions owned and resolved</t>
  </si>
  <si>
    <t>KPI/OKR; scorecard; competency; review</t>
  </si>
  <si>
    <t>Document-chain reconciliation rate</t>
  </si>
  <si>
    <t>Validates production BOM, routing, work/machine center, production order, consumption, output, scrap, costing and manufacturing integration concepts.</t>
  </si>
  <si>
    <t>P2PPL</t>
  </si>
  <si>
    <t>Cross-reference report, unmatched queue, correction history</t>
  </si>
  <si>
    <t>04.5-ACCOUNTS-FINANCE-SDD + Logistics Module SDD</t>
  </si>
  <si>
    <t>Business Central production orders</t>
  </si>
  <si>
    <t>Microsoft Learn - Create production orders</t>
  </si>
  <si>
    <t>https://learn.microsoft.com/en-us/dynamics365/business-central/production-how-to-create-production-orders</t>
  </si>
  <si>
    <t>O2C-029</t>
  </si>
  <si>
    <t>Management / Cross-functional</t>
  </si>
  <si>
    <t>O2C Performance Management</t>
  </si>
  <si>
    <t>Process Monitoring</t>
  </si>
  <si>
    <t>Monitor end-to-end O2C performance</t>
  </si>
  <si>
    <t>Track throughput, cycle time, manual touches, exceptions, adoption, STP, OTIF and DSO</t>
  </si>
  <si>
    <t>Fabric / Power BI / process intelligence</t>
  </si>
  <si>
    <t>Event data from systems of record</t>
  </si>
  <si>
    <t>Process owner / management</t>
  </si>
  <si>
    <t>Analytics / process mining</t>
  </si>
  <si>
    <t>KPI lineage; common process IDs; verified event timestamps</t>
  </si>
  <si>
    <t>O2C end-to-end cycle time</t>
  </si>
  <si>
    <t>Event log across customer/order/delivery/invoice/payment</t>
  </si>
  <si>
    <t>EXECUTIVE INSIGHTS</t>
  </si>
  <si>
    <t>Validates production orders, source types, quantities/due dates and integration of BOM, routing, components, operations and capacity requirements.</t>
  </si>
  <si>
    <t>Quality management</t>
  </si>
  <si>
    <t>Microsoft Learn - Quality management overview</t>
  </si>
  <si>
    <t>https://learn.microsoft.com/en-us/dynamics365/business-central/qms-overview</t>
  </si>
  <si>
    <t>Evidence discipline</t>
  </si>
  <si>
    <t>Current bottleneck</t>
  </si>
  <si>
    <t>Immediate action</t>
  </si>
  <si>
    <t>Next promotion gate</t>
  </si>
  <si>
    <t>Validates production-output inspection creation, inspection templates/pass-fail rules, lot blocking, nonconformance handling and warehouse integration.</t>
  </si>
  <si>
    <t>Production costing</t>
  </si>
  <si>
    <t>Microsoft Learn - Finished production order costs</t>
  </si>
  <si>
    <t>Jira Done / configured capability supports E2 only. It does not prove execution, adoption or realized value.</t>
  </si>
  <si>
    <t>https://learn.microsoft.com/en-us/dynamics365/business-central/finance-about-finished-production-order-costs</t>
  </si>
  <si>
    <t>No unified production O2C event log yet, so cycle time, variants, STP and human dependency are not verified.</t>
  </si>
  <si>
    <t>Start Wave 1 event extraction across Sales Eco, Business Central and Logistics using the O2C Event Schema and Source-to-Field Mapping.</t>
  </si>
  <si>
    <t>E3 = real production cases; E4 = repeatable measured KPIs/variants; E5 = verified improvement against baseline.</t>
  </si>
  <si>
    <t>Validates material/capacity/subcontracting/overhead accumulation, WIP and variance behavior, and why Finished order status matters for final cost adjustment.</t>
  </si>
  <si>
    <t>Project / consolidated evidence</t>
  </si>
  <si>
    <t>Sales / O2C operating model</t>
  </si>
  <si>
    <t>BMD Sales Eco System - Final Consolidated Product Documentation v2.0</t>
  </si>
  <si>
    <t>Project File Library / authoritative functional baseline</t>
  </si>
  <si>
    <t>Confirms Sales Eco operational authority, BC financial authority, O2C capabilities, auditable lifecycle events, correlation/retry requirements and integration reconciliation principles.</t>
  </si>
  <si>
    <t>Project / management design evidence</t>
  </si>
  <si>
    <t>Sales / BC integration / O2C</t>
  </si>
  <si>
    <t>BuildStrong BMD Order and Access Design Meeting Minutes - 2026-08-09</t>
  </si>
  <si>
    <t>Project File Library</t>
  </si>
  <si>
    <t>Confirms organization/RC/customer/location/item integration context, idempotent submission, BC document/reference return, correlation ID and scheduled reconciliation requirements.</t>
  </si>
  <si>
    <t>Process intelligence / event schema</t>
  </si>
  <si>
    <t>Microsoft Learn - Prepare processes and data for Process Mining</t>
  </si>
  <si>
    <t>https://learn.microsoft.com/en-us/power-automate/process-mining-processes-and-data</t>
  </si>
  <si>
    <t>CONTROL TOWER STATUS</t>
  </si>
  <si>
    <t>Current Position</t>
  </si>
  <si>
    <t>Implication</t>
  </si>
  <si>
    <t>Project status visibility</t>
  </si>
  <si>
    <t>Available</t>
  </si>
  <si>
    <t>ERP plan/Jira show delivery progress, not transformation maturity</t>
  </si>
  <si>
    <t>Established</t>
  </si>
  <si>
    <t>Stable L0-L6 process identity now exists</t>
  </si>
  <si>
    <t>Metric ID</t>
  </si>
  <si>
    <t>O2C evidence review</t>
  </si>
  <si>
    <t>Current validation that process mining requires Case ID, Activity Name and timestamps and benefits from resource/event attributes; historical event logs are required rather than only current-state tables.</t>
  </si>
  <si>
    <t>Business Central integration observability</t>
  </si>
  <si>
    <t>Metric Name</t>
  </si>
  <si>
    <t>Microsoft Learn - Web Service Telemetry - Business Central</t>
  </si>
  <si>
    <t>https://learn.microsoft.com/en-us/dynamics365/business-central/dev-itpro/webservices/web-service-telemetry</t>
  </si>
  <si>
    <t>KPI Family</t>
  </si>
  <si>
    <t>Provisional E2 Candidate</t>
  </si>
  <si>
    <t>Formula / Calculation</t>
  </si>
  <si>
    <t>Ready for production event extraction</t>
  </si>
  <si>
    <t>Numerator</t>
  </si>
  <si>
    <t>Denominator</t>
  </si>
  <si>
    <t>Unit</t>
  </si>
  <si>
    <t>Unified event log</t>
  </si>
  <si>
    <t>Grain</t>
  </si>
  <si>
    <t>Source Event / System</t>
  </si>
  <si>
    <t>Management Use</t>
  </si>
  <si>
    <t>Not yet built</t>
  </si>
  <si>
    <t>Proposed Direction / Target</t>
  </si>
  <si>
    <t>Status</t>
  </si>
  <si>
    <t>Prevents verified cross-system KPI reporting</t>
  </si>
  <si>
    <t>M-O2C-01</t>
  </si>
  <si>
    <t>O2C End-to-End Cycle Time</t>
  </si>
  <si>
    <t>Verified business outcomes</t>
  </si>
  <si>
    <t>Process Performance</t>
  </si>
  <si>
    <t>Elapsed time from accepted customer order to cash application/closure.</t>
  </si>
  <si>
    <t>Baseline pending</t>
  </si>
  <si>
    <t>Average(cash application timestamp - order accepted timestamp)</t>
  </si>
  <si>
    <t>N/A</t>
  </si>
  <si>
    <t>No productivity, cycle-time or cost claim should be reported as realized yet</t>
  </si>
  <si>
    <t>Hours / days</t>
  </si>
  <si>
    <t>Order / customer / SBU</t>
  </si>
  <si>
    <t>Sales Eco + BC + Logistics event timestamps</t>
  </si>
  <si>
    <t>Shows total working-capital and service latency.</t>
  </si>
  <si>
    <t>Reduce vs verified baseline; no numeric target until calibrated</t>
  </si>
  <si>
    <t>Definition proposed</t>
  </si>
  <si>
    <t>M-O2C-02</t>
  </si>
  <si>
    <t>O2C PILOT SBU SELECTION</t>
  </si>
  <si>
    <t>Order Digital Adoption Rate</t>
  </si>
  <si>
    <t>Adoption</t>
  </si>
  <si>
    <t>Share of eligible customer orders initiated and processed through the approved digital process.</t>
  </si>
  <si>
    <t>Digital orders / total eligible orders</t>
  </si>
  <si>
    <t>Orders executed through approved system</t>
  </si>
  <si>
    <t>All eligible orders</t>
  </si>
  <si>
    <t>%</t>
  </si>
  <si>
    <t>SBU / channel / month</t>
  </si>
  <si>
    <t>Sales Eco / BC order sources</t>
  </si>
  <si>
    <t>Detects shadow/manual order processes.</t>
  </si>
  <si>
    <t>Increase toward 100%; target to be calibrated</t>
  </si>
  <si>
    <t>M-O2C-03</t>
  </si>
  <si>
    <t>Human Touches per Order</t>
  </si>
  <si>
    <t>Human Dependency</t>
  </si>
  <si>
    <t>Count of distinct human actions required from order intake through cash application.</t>
  </si>
  <si>
    <t>Human action events / completed orders</t>
  </si>
  <si>
    <t>Validates logging of BC SOAP/OData/API calls, HTTP outcomes, endpoint/duration and client-request-id based correlation through Application Insights.</t>
  </si>
  <si>
    <t>Count of human action events</t>
  </si>
  <si>
    <t>Completed O2C orders</t>
  </si>
  <si>
    <t>Touches / order</t>
  </si>
  <si>
    <t>Order / process step</t>
  </si>
  <si>
    <t>Business Central auditing</t>
  </si>
  <si>
    <t>Workflow/audit logs across Sales Eco, BC, Logistics</t>
  </si>
  <si>
    <t>Microsoft Learn - Audit changes to your setup / Security auditing</t>
  </si>
  <si>
    <t>Quantifies manual reliance and automation opportunity.</t>
  </si>
  <si>
    <t>Reduce where controls permit</t>
  </si>
  <si>
    <t>https://learn.microsoft.com/en-us/dynamics365/business-central/across-setup-auditing</t>
  </si>
  <si>
    <t>Requires event classification</t>
  </si>
  <si>
    <t>M-O2C-04</t>
  </si>
  <si>
    <t>Provisional First-to-Check</t>
  </si>
  <si>
    <t>Human Minutes per Order</t>
  </si>
  <si>
    <t>Estimated or measured active human processing time across the O2C chain.</t>
  </si>
  <si>
    <t>Sum active human processing minutes / completed orders</t>
  </si>
  <si>
    <t>Active human minutes</t>
  </si>
  <si>
    <t>Completed orders</t>
  </si>
  <si>
    <t>Minutes / order</t>
  </si>
  <si>
    <t>Order / role / activity</t>
  </si>
  <si>
    <t>Selection Gate</t>
  </si>
  <si>
    <t>Task timestamps, time study, workflow logs</t>
  </si>
  <si>
    <t>Supports productivity and benefit realization.</t>
  </si>
  <si>
    <t>Reduce vs baseline without weakening controls</t>
  </si>
  <si>
    <t>Requires baseline study</t>
  </si>
  <si>
    <t>M-O2C-05</t>
  </si>
  <si>
    <t>Straight-Through Processing Rate</t>
  </si>
  <si>
    <t>Automation</t>
  </si>
  <si>
    <t>Why Not Selected Yet</t>
  </si>
  <si>
    <t>Share of eligible transactions completed through the defined scope without manual intervention.</t>
  </si>
  <si>
    <t>Transactions completed without manual intervention / eligible transactions</t>
  </si>
  <si>
    <t>No-manual-intervention transactions</t>
  </si>
  <si>
    <t>Eligible transactions</t>
  </si>
  <si>
    <t>Process / SBU / transaction type</t>
  </si>
  <si>
    <t>Immediate Next Action</t>
  </si>
  <si>
    <t>Cross-system event log</t>
  </si>
  <si>
    <t>Core indicator of deterministic automation.</t>
  </si>
  <si>
    <t>Increase only for low-risk standardized cases</t>
  </si>
  <si>
    <t>M-O2C-06</t>
  </si>
  <si>
    <t>Credit Auto-Clear Rate</t>
  </si>
  <si>
    <t>Automation / Control</t>
  </si>
  <si>
    <t>Share of eligible orders that pass credit validation without manual exception approval.</t>
  </si>
  <si>
    <t>Credit-cleared orders without manual approval / credit-checked orders</t>
  </si>
  <si>
    <t>Evidence ID</t>
  </si>
  <si>
    <t>Auto-cleared orders</t>
  </si>
  <si>
    <t>Credit-checked orders</t>
  </si>
  <si>
    <t>Pilot selection pending live data evidence</t>
  </si>
  <si>
    <t>Validates Business Central Change Log use for who changed what and when; supports configuration/data-change evidence but does not replace transaction event design.</t>
  </si>
  <si>
    <t>Process Step / Area</t>
  </si>
  <si>
    <t>Customer / RC / SBU</t>
  </si>
  <si>
    <t>BC credit check / approval events</t>
  </si>
  <si>
    <t>Business Central O2C API extraction</t>
  </si>
  <si>
    <t>Evidence Level Supported</t>
  </si>
  <si>
    <t>Shows effectiveness of standard credit rules.</t>
  </si>
  <si>
    <t>Microsoft Learn - Business Central API v2.0 / salesOrder, salesShipment, salesInvoice</t>
  </si>
  <si>
    <t>Evidence Artifact</t>
  </si>
  <si>
    <t>Increase for policy-compliant orders</t>
  </si>
  <si>
    <t>https://learn.microsoft.com/en-us/dynamics365/business-central/dev-itpro/api-reference/v2.0/</t>
  </si>
  <si>
    <t>System / Owner</t>
  </si>
  <si>
    <t>M-O2C-07</t>
  </si>
  <si>
    <t>Required Fields</t>
  </si>
  <si>
    <t>Credit Exception Rate</t>
  </si>
  <si>
    <t>Exception</t>
  </si>
  <si>
    <t>Sampling Window / Frequency</t>
  </si>
  <si>
    <t>Share of credit-checked orders requiring override or exception approval.</t>
  </si>
  <si>
    <t>Credit exception orders / credit-checked orders</t>
  </si>
  <si>
    <t>AOPL — not selected</t>
  </si>
  <si>
    <t>Validation Test</t>
  </si>
  <si>
    <t>Exception orders</t>
  </si>
  <si>
    <t>Failure Signal</t>
  </si>
  <si>
    <t>Management Interpretation</t>
  </si>
  <si>
    <t>BC approval workflow</t>
  </si>
  <si>
    <t>Source / URL</t>
  </si>
  <si>
    <t>Highlights policy friction and customer-risk exposure.</t>
  </si>
  <si>
    <t>Reduce avoidable exceptions; do not suppress justified approvals</t>
  </si>
  <si>
    <t>M-O2C-08</t>
  </si>
  <si>
    <t>EV-O2C-01</t>
  </si>
  <si>
    <t>Credit Approval Cycle Time</t>
  </si>
  <si>
    <t>Entire O2C design baseline</t>
  </si>
  <si>
    <t>Elapsed time from credit exception submission to final approval/rejection.</t>
  </si>
  <si>
    <t>Average(decision timestamp - submission timestamp)</t>
  </si>
  <si>
    <t>7/7 mandatory gates must pass</t>
  </si>
  <si>
    <t>Approved SDD/FRD/SOP and signed requirements</t>
  </si>
  <si>
    <t>Process owner / AESL / implementation team</t>
  </si>
  <si>
    <t>Minutes / hours</t>
  </si>
  <si>
    <t>Process scope, actors, business rules, approvals, integrations, exceptions, target behavior</t>
  </si>
  <si>
    <t>Exception / approver / SBU</t>
  </si>
  <si>
    <t>Latest approved version; review on material change</t>
  </si>
  <si>
    <t>Finds approval bottlenecks.</t>
  </si>
  <si>
    <t>Confirm document approval/version and map each L4-L6 step to supporting requirement</t>
  </si>
  <si>
    <t>Reduce vs baseline; design SDD references &lt;4 hours as a candidate benchmark, not verified target</t>
  </si>
  <si>
    <t>Project-plan chronology and Jira/email activity do not prove end-to-end production lineage, adoption or reconciled source coverage.</t>
  </si>
  <si>
    <t>Unapproved draft; conflicting documents; missing process step</t>
  </si>
  <si>
    <t>Target requires management validation</t>
  </si>
  <si>
    <t>Proves intended design only, not production maturity</t>
  </si>
  <si>
    <t>M-O2C-09</t>
  </si>
  <si>
    <t>Manual Discount Exception Rate</t>
  </si>
  <si>
    <t>Exception / Commercial Control</t>
  </si>
  <si>
    <t>Share of orders requiring non-standard discount approval.</t>
  </si>
  <si>
    <t>Orders with discount exception / total eligible orders</t>
  </si>
  <si>
    <t>Issue P0 data requests and validate Sales Eco → BC → Logistics → Finance coverage before scoring candidates.</t>
  </si>
  <si>
    <t>Discount-exception orders</t>
  </si>
  <si>
    <t>Eligible orders</t>
  </si>
  <si>
    <t>SBU / customer / product</t>
  </si>
  <si>
    <t>Sales Eco / BC pricing and approval events</t>
  </si>
  <si>
    <t>Validates standard REST API availability for customers and core sales-order/shipment/invoice resources; custom AGI fields still require technical schema validation.</t>
  </si>
  <si>
    <t>Identifies pricing-policy leakage and process friction.</t>
  </si>
  <si>
    <t>Reduce avoidable exceptions; preserve approved commercial flexibility</t>
  </si>
  <si>
    <t>M-O2C-10</t>
  </si>
  <si>
    <t>Stock Availability Pass Rate</t>
  </si>
  <si>
    <t>Fulfilment</t>
  </si>
  <si>
    <t>Share of order lines that can be fulfilled from eligible stock when checked.</t>
  </si>
  <si>
    <t>Lines passing availability check / lines checked</t>
  </si>
  <si>
    <t>Available order lines</t>
  </si>
  <si>
    <t>Lines checked</t>
  </si>
  <si>
    <t>Item / location / SBU</t>
  </si>
  <si>
    <t>Business Central inventory availability</t>
  </si>
  <si>
    <t>Links inventory readiness to sales service.</t>
  </si>
  <si>
    <t>Increase; segment by stockout cause</t>
  </si>
  <si>
    <t>M-O2C-11</t>
  </si>
  <si>
    <t>Reservation Automation Rate</t>
  </si>
  <si>
    <t>Share of eligible confirmed order lines reserved automatically without manual allocation.</t>
  </si>
  <si>
    <t>Automatically reserved lines / eligible confirmed lines</t>
  </si>
  <si>
    <t>Automatically reserved lines</t>
  </si>
  <si>
    <t>Eligible confirmed lines</t>
  </si>
  <si>
    <t>BC reservation entries</t>
  </si>
  <si>
    <t>Measures inventory-fulfilment automation.</t>
  </si>
  <si>
    <t>Increase for standard allocation cases</t>
  </si>
  <si>
    <t>M-O2C-12</t>
  </si>
  <si>
    <t>SO-to-DO Cycle Time</t>
  </si>
  <si>
    <t>Elapsed time from eligible/approved sales order to delivery-order creation.</t>
  </si>
  <si>
    <t>Average(DO created timestamp - SO eligible timestamp)</t>
  </si>
  <si>
    <t>Hours</t>
  </si>
  <si>
    <t>SO / SBU / plant</t>
  </si>
  <si>
    <t>BC + Logistics references</t>
  </si>
  <si>
    <t>Shows fulfilment-planning responsiveness.</t>
  </si>
  <si>
    <t>Reduce vs baseline</t>
  </si>
  <si>
    <t>M-O2C-13</t>
  </si>
  <si>
    <t>DO-to-Dispatch Cycle Time</t>
  </si>
  <si>
    <t>Elapsed time from delivery-order readiness to physical dispatch.</t>
  </si>
  <si>
    <t>Average(dispatch timestamp - DO ready timestamp)</t>
  </si>
  <si>
    <t>Available; needs evidence mapping</t>
  </si>
  <si>
    <t>EV-O2C-02</t>
  </si>
  <si>
    <t>Customer onboarding / approval</t>
  </si>
  <si>
    <t>DO / plant / route</t>
  </si>
  <si>
    <t>E2-E3</t>
  </si>
  <si>
    <t>Logistics App + gate events</t>
  </si>
  <si>
    <t>Finds scheduling, loading, gate and vehicle bottlenecks.</t>
  </si>
  <si>
    <t>Sales Eco and BC configuration plus production customer approval history</t>
  </si>
  <si>
    <t>Sales / Finance / system owner</t>
  </si>
  <si>
    <t>Customer ID, organization, type, status, BC Customer No., blocked state, approver, decision, timestamps</t>
  </si>
  <si>
    <t>M-O2C-14</t>
  </si>
  <si>
    <t>Sample recent 30-90 days across active SBUs</t>
  </si>
  <si>
    <t>Vehicle Utilization</t>
  </si>
  <si>
    <t>Trace submitted customer through BC creation, approval/rejection and callback</t>
  </si>
  <si>
    <t>Asset / Logistics Efficiency</t>
  </si>
  <si>
    <t>Missing BC reference; unblocked before approval; approval outside system</t>
  </si>
  <si>
    <t>Loaded quantity or weight as a share of practical vehicle capacity for eligible trips.</t>
  </si>
  <si>
    <t>Distinguishes configured onboarding from actually governed digital onboarding</t>
  </si>
  <si>
    <t>Actual loaded capacity / eligible practical capacity</t>
  </si>
  <si>
    <t>Actual loaded quantity/weight</t>
  </si>
  <si>
    <t>Practical vehicle capacity</t>
  </si>
  <si>
    <t>Trip / vehicle / route</t>
  </si>
  <si>
    <t>Logistics trip + vehicle master</t>
  </si>
  <si>
    <t>Supports fleet and hired-transport optimization.</t>
  </si>
  <si>
    <t>Optimize within safety/legal constraints</t>
  </si>
  <si>
    <t>M-O2C-15</t>
  </si>
  <si>
    <t>Gate Dwell Time</t>
  </si>
  <si>
    <t>Elapsed time between gate-in/readiness and gate-out for outbound delivery vehicles.</t>
  </si>
  <si>
    <t>Average(gate-out timestamp - gate-in/readiness timestamp)</t>
  </si>
  <si>
    <t>Minutes</t>
  </si>
  <si>
    <t>Trip / plant</t>
  </si>
  <si>
    <t>Gate / weighbridge events</t>
  </si>
  <si>
    <t>Identifies physical dispatch congestion.</t>
  </si>
  <si>
    <t>M-O2C-16</t>
  </si>
  <si>
    <t>Dispatch-On-Time Rate</t>
  </si>
  <si>
    <t>Service</t>
  </si>
  <si>
    <t>Share of scheduled dispatches leaving within the committed dispatch window.</t>
  </si>
  <si>
    <t>On-time dispatches / scheduled dispatches</t>
  </si>
  <si>
    <t>On-time dispatches</t>
  </si>
  <si>
    <t>Scheduled dispatches</t>
  </si>
  <si>
    <t>Plant / route / SBU</t>
  </si>
  <si>
    <t>Logistics schedule + gate-out</t>
  </si>
  <si>
    <t>Separates dispatch execution from customer delivery performance.</t>
  </si>
  <si>
    <t>Increase</t>
  </si>
  <si>
    <t>M-O2C-17</t>
  </si>
  <si>
    <t>OTIF</t>
  </si>
  <si>
    <t>Business Outcome / Service</t>
  </si>
  <si>
    <t>Share of deliveries completed on time and in full against the committed requirement.</t>
  </si>
  <si>
    <t>Deliveries meeting time and quantity commitment / eligible deliveries</t>
  </si>
  <si>
    <t>OTIF deliveries</t>
  </si>
  <si>
    <t>Eligible deliveries</t>
  </si>
  <si>
    <t>Customer / route / plant / SBU</t>
  </si>
  <si>
    <t>DO/DN/POD + promise data</t>
  </si>
  <si>
    <t>Primary customer-service outcome.</t>
  </si>
  <si>
    <t>Increase; Logistics SDD design target &gt;95% on-time delivery requires validation</t>
  </si>
  <si>
    <t>Pending production sample</t>
  </si>
  <si>
    <t>Target not calibrated</t>
  </si>
  <si>
    <t>EV-O2C-03</t>
  </si>
  <si>
    <t>M-O2C-18</t>
  </si>
  <si>
    <t>Price / discount governance</t>
  </si>
  <si>
    <t>POD Capture Rate</t>
  </si>
  <si>
    <t>E2-E4</t>
  </si>
  <si>
    <t>Adoption / Control</t>
  </si>
  <si>
    <t>Price proposal configuration, version history and approval events</t>
  </si>
  <si>
    <t>Share of completed deliveries with required proof-of-delivery evidence captured digitally.</t>
  </si>
  <si>
    <t>Sales / Commercial</t>
  </si>
  <si>
    <t>Deliveries with complete digital POD / completed deliveries</t>
  </si>
  <si>
    <t>Complete digital POD deliveries</t>
  </si>
  <si>
    <t>Price proposal ID, item/customer scope, old/new price, effective date, approver chain, comments, activated version</t>
  </si>
  <si>
    <t>Completed deliveries</t>
  </si>
  <si>
    <t>Recent 3 months and latest price change by SBU</t>
  </si>
  <si>
    <t>Reconcile approved version to price used on orders</t>
  </si>
  <si>
    <t>Trip / customer / SBU</t>
  </si>
  <si>
    <t>Order price not traceable to approved master; offline discount approval</t>
  </si>
  <si>
    <t>Logistics POD records</t>
  </si>
  <si>
    <t>Supports pricing control, exception rate and cycle-time metrics</t>
  </si>
  <si>
    <t>Measures delivery evidence completeness and digital adoption.</t>
  </si>
  <si>
    <t>Increase toward 100% where POD is required</t>
  </si>
  <si>
    <t>M-O2C-19</t>
  </si>
  <si>
    <t>Pending configuration/event evidence</t>
  </si>
  <si>
    <t>Delivery Exception Rate</t>
  </si>
  <si>
    <t>EV-O2C-04</t>
  </si>
  <si>
    <t>Order intake</t>
  </si>
  <si>
    <t>Share of delivery attempts with shortage, damage, rejection, partial delivery or other exception.</t>
  </si>
  <si>
    <t>E3-E4</t>
  </si>
  <si>
    <t>Exception deliveries / delivery attempts</t>
  </si>
  <si>
    <t>Production customer order / sales order event extract</t>
  </si>
  <si>
    <t>Exception deliveries</t>
  </si>
  <si>
    <t>Delivery attempts</t>
  </si>
  <si>
    <t>Order ID, source, creator, customer, item, qty, UOM, RC, created/submitted/approved timestamps, status</t>
  </si>
  <si>
    <t>Reason / plant / customer / item</t>
  </si>
  <si>
    <t>At least 30 days; preferably 90 days including all active SBUs</t>
  </si>
  <si>
    <t>Logistics exception records</t>
  </si>
  <si>
    <t>Highlights quality, planning and fulfilment failure modes.</t>
  </si>
  <si>
    <t>Reduce avoidable exceptions</t>
  </si>
  <si>
    <t>M-O2C-20</t>
  </si>
  <si>
    <t>Delivery-to-Invoice Cycle Time</t>
  </si>
  <si>
    <t>Elapsed time from eligible delivery confirmation to posted customer invoice.</t>
  </si>
  <si>
    <t>Average(invoice posted timestamp - delivery confirmation timestamp)</t>
  </si>
  <si>
    <t>Compare transaction counts to known/manual order population and identify off-system orders</t>
  </si>
  <si>
    <t>Missing source tag; duplicate orders; material manual order population</t>
  </si>
  <si>
    <t>Invoice / delivery / SBU</t>
  </si>
  <si>
    <t>Required to measure digital adoption and order cycle time</t>
  </si>
  <si>
    <t>Logistics + BC posted invoice</t>
  </si>
  <si>
    <t>https://learn.microsoft.com/en-us/dynamics365/business-central/quick-start-sell-products-and-services</t>
  </si>
  <si>
    <t>S2P-001</t>
  </si>
  <si>
    <t>Measures billing latency and revenue/AR timeliness.</t>
  </si>
  <si>
    <t>Finance SDD design benchmark &lt;1 hour; validate against actual policy</t>
  </si>
  <si>
    <t>SCM / Requesting Function</t>
  </si>
  <si>
    <t>Demand Management</t>
  </si>
  <si>
    <t>M-O2C-21</t>
  </si>
  <si>
    <t>Demand Capture</t>
  </si>
  <si>
    <t>Invoice Accuracy</t>
  </si>
  <si>
    <t>Create internal demand</t>
  </si>
  <si>
    <t>Quality / Control</t>
  </si>
  <si>
    <t>Capture requester, item/service, quantity, need date, purpose, priority, cost center and attachments</t>
  </si>
  <si>
    <t>Share of invoices posted without pricing, quantity, customer, tax or reference correction.</t>
  </si>
  <si>
    <t>Custom Demand / Business Central</t>
  </si>
  <si>
    <t>Correct invoices / total invoices</t>
  </si>
  <si>
    <t>Approved demand record</t>
  </si>
  <si>
    <t>Invoices without correction/reversal attributable to error</t>
  </si>
  <si>
    <t>Requester</t>
  </si>
  <si>
    <t>Total posted invoices</t>
  </si>
  <si>
    <t>Human entry + system validation</t>
  </si>
  <si>
    <t>Candidate S0-S1</t>
  </si>
  <si>
    <t>Invoice / SBU</t>
  </si>
  <si>
    <t>S1/S2</t>
  </si>
  <si>
    <t>BC posted invoices + correction/credit events</t>
  </si>
  <si>
    <t>Mandatory fields; role access; valid master data; duplicate prevention</t>
  </si>
  <si>
    <t>Core billing-control outcome.</t>
  </si>
  <si>
    <t>Demand digital adoption rate</t>
  </si>
  <si>
    <t>Increase; design docs reference &gt;99% but actual target must be approved</t>
  </si>
  <si>
    <t>Demand records, source channel, user, timestamps, validation errors</t>
  </si>
  <si>
    <t>SCM - Signed SDD + SCM Business Central Project Annexes</t>
  </si>
  <si>
    <t>M-O2C-22</t>
  </si>
  <si>
    <t>Payment Auto-Application Rate</t>
  </si>
  <si>
    <t>https://docs.google.com/document/d/127YQA_Z0zcKBMCFBa4ZgW_kmnExCMgfpheJ_DeoXFmw/edit</t>
  </si>
  <si>
    <t>Share of eligible customer payments automatically matched/applied to open customer entries without manual intervention.</t>
  </si>
  <si>
    <t>Automatically applied payments / eligible payments</t>
  </si>
  <si>
    <t>Auto-applied payments</t>
  </si>
  <si>
    <t>Eligible payments</t>
  </si>
  <si>
    <t>Bank / customer / SBU</t>
  </si>
  <si>
    <t>BC payment reconciliation/application</t>
  </si>
  <si>
    <t>Measures cash-application automation and finance workload.</t>
  </si>
  <si>
    <t>Increase for high-confidence matches; preserve review for exceptions</t>
  </si>
  <si>
    <t>M-O2C-23</t>
  </si>
  <si>
    <t>Days Sales Outstanding (DSO)</t>
  </si>
  <si>
    <t>Business Outcome / Working Capital</t>
  </si>
  <si>
    <t>Average collection period implied by accounts receivable relative to credit sales.</t>
  </si>
  <si>
    <t>(AR balance / credit sales) x days in period</t>
  </si>
  <si>
    <t>M-S2P-01</t>
  </si>
  <si>
    <t>AR balance</t>
  </si>
  <si>
    <t>Source-to-Pay End-to-End Cycle Time</t>
  </si>
  <si>
    <t>Credit sales</t>
  </si>
  <si>
    <t>Days</t>
  </si>
  <si>
    <t>Elapsed time from accepted demand/requisition to final supplier payment application/closure.</t>
  </si>
  <si>
    <t>SBU / customer segment / period</t>
  </si>
  <si>
    <t>Average(payment posted timestamp - demand accepted timestamp)</t>
  </si>
  <si>
    <t>Business Central AR / sales ledger</t>
  </si>
  <si>
    <t>Primary working-capital metric.</t>
  </si>
  <si>
    <t>Reduce subject to commercial policy; design SDD figures are not accepted baseline/target</t>
  </si>
  <si>
    <t>Demand / PO / SBU</t>
  </si>
  <si>
    <t>Formula validated; baseline pending</t>
  </si>
  <si>
    <t>Demand + BC procurement + AP event timestamps</t>
  </si>
  <si>
    <t>M-O2C-24</t>
  </si>
  <si>
    <t>Shows total procurement and working-capital latency.</t>
  </si>
  <si>
    <t>Overdue AR Ratio</t>
  </si>
  <si>
    <t>Pending production extract</t>
  </si>
  <si>
    <t>Business Outcome / Risk</t>
  </si>
  <si>
    <t>Share of open receivables that are past contractual due date.</t>
  </si>
  <si>
    <t>M-S2P-02</t>
  </si>
  <si>
    <t>EV-O2C-05</t>
  </si>
  <si>
    <t>Overdue AR value / total open AR value</t>
  </si>
  <si>
    <t>Demand Digital Adoption Rate</t>
  </si>
  <si>
    <t>Credit control</t>
  </si>
  <si>
    <t>Overdue AR value</t>
  </si>
  <si>
    <t>Share of eligible internal purchase demands captured through the approved digital process.</t>
  </si>
  <si>
    <t>Total open AR</t>
  </si>
  <si>
    <t>Credit-check and approval workflow event log</t>
  </si>
  <si>
    <t>Digital demand cases / total eligible demand cases</t>
  </si>
  <si>
    <t>Business Central / Finance</t>
  </si>
  <si>
    <t>Digitally captured demands</t>
  </si>
  <si>
    <t>Customer / aging bucket / SBU</t>
  </si>
  <si>
    <t>Eligible demands</t>
  </si>
  <si>
    <t>Customer, RC, credit limit, AR exposure, pending order exposure, decision, exception reason, approver, timestamps</t>
  </si>
  <si>
    <t>BC customer ledger / aging</t>
  </si>
  <si>
    <t>30-90 days by SBU/RC</t>
  </si>
  <si>
    <t>SBU / department / month</t>
  </si>
  <si>
    <t>Shows collection risk and credit-control effectiveness.</t>
  </si>
  <si>
    <t>Custom Demand / BC / manual demand register</t>
  </si>
  <si>
    <t>Recalculate exposure for sample orders and verify approval only when rule requires</t>
  </si>
  <si>
    <t>S2P-002</t>
  </si>
  <si>
    <t>Reduce</t>
  </si>
  <si>
    <t>Detects email, paper, Excel or verbal requisition bypass.</t>
  </si>
  <si>
    <t>SCM / Inventory / Planning</t>
  </si>
  <si>
    <t>Credit bypass; stale exposure; approval missing; approval outside system</t>
  </si>
  <si>
    <t>Increase toward 100% where digital demand is mandatory</t>
  </si>
  <si>
    <t>Supports auto-clear, exception, approval-time and control-effectiveness measures</t>
  </si>
  <si>
    <t>Automatic Demand Generation</t>
  </si>
  <si>
    <t>M-O2C-25</t>
  </si>
  <si>
    <t>M-S2P-03</t>
  </si>
  <si>
    <t>Generate replenishment demand</t>
  </si>
  <si>
    <t>Sales Return Rate</t>
  </si>
  <si>
    <t>Use reorder points, inventory position, sales forecasts and manufacturing plans to suggest demand</t>
  </si>
  <si>
    <t>Auto-Demand Generation Rate</t>
  </si>
  <si>
    <t>Quality / Business Outcome</t>
  </si>
  <si>
    <t>Business Central Requisition Worksheet / extension</t>
  </si>
  <si>
    <t>Returned sales quantity or value as a share of delivered quantity or value, segmented by reason.</t>
  </si>
  <si>
    <t>Share of eligible replenishment demands generated from approved system planning parameters without manual creation.</t>
  </si>
  <si>
    <t>Business Central planning data</t>
  </si>
  <si>
    <t>Returned quantity/value / delivered quantity/value</t>
  </si>
  <si>
    <t>Inventory Planner</t>
  </si>
  <si>
    <t>Auto-generated eligible demands / total eligible replenishment demands</t>
  </si>
  <si>
    <t>Returned quantity/value</t>
  </si>
  <si>
    <t>Deterministic planning rule + human review</t>
  </si>
  <si>
    <t>Auto-generated demands</t>
  </si>
  <si>
    <t>Delivered quantity/value</t>
  </si>
  <si>
    <t>Eligible replenishment demands</t>
  </si>
  <si>
    <t>Approved planning parameters; demand traceability; exception override reason</t>
  </si>
  <si>
    <t>Auto-demand generation rate</t>
  </si>
  <si>
    <t>Reason / item / customer / plant / SBU</t>
  </si>
  <si>
    <t>BC requisition worksheet / planning suggestions</t>
  </si>
  <si>
    <t>Requisition worksheet suggestions, reorder parameters, acceptance/rejection events</t>
  </si>
  <si>
    <t>Measures deterministic planning automation.</t>
  </si>
  <si>
    <t>SCM - Signed SDD + Microsoft purchasing/planning guidance</t>
  </si>
  <si>
    <t>BC return receipts / credit memos / DN references</t>
  </si>
  <si>
    <t>Increase for stable, policy-controlled item classes</t>
  </si>
  <si>
    <t>https://learn.microsoft.com/en-us/dynamics365/business-central/planning-supply</t>
  </si>
  <si>
    <t>Links product/fulfilment quality to customer and financial impact.</t>
  </si>
  <si>
    <t>M-S2P-04</t>
  </si>
  <si>
    <t>Reduce avoidable returns</t>
  </si>
  <si>
    <t>Demand Approval Cycle Time</t>
  </si>
  <si>
    <t>Elapsed time from submission of a purchase demand/requisition to final approval or rejection.</t>
  </si>
  <si>
    <t>M-O2C-26</t>
  </si>
  <si>
    <t>Average(final decision timestamp - submission timestamp)</t>
  </si>
  <si>
    <t>O2C Document-Chain Reconciliation Rate</t>
  </si>
  <si>
    <t>Request / approver / SBU</t>
  </si>
  <si>
    <t>Control / Data Quality</t>
  </si>
  <si>
    <t>BC/custom approval workflow</t>
  </si>
  <si>
    <t>Highlights approval bottlenecks before sourcing starts.</t>
  </si>
  <si>
    <t>S2P-003</t>
  </si>
  <si>
    <t>Reduce vs baseline without weakening authority controls</t>
  </si>
  <si>
    <t>EV-O2C-06</t>
  </si>
  <si>
    <t>M-S2P-05</t>
  </si>
  <si>
    <t>Stock availability / reservation</t>
  </si>
  <si>
    <t>Demand Consolidation Rate</t>
  </si>
  <si>
    <t>Efficiency</t>
  </si>
  <si>
    <t>Share of compatible approved demands consolidated into common sourcing packages/indents rather than sourced separately.</t>
  </si>
  <si>
    <t>Inventory availability snapshots and reservation entries linked to sales orders</t>
  </si>
  <si>
    <t>Demand Approval</t>
  </si>
  <si>
    <t>Demands consolidated into shared indents / compatible approved demands</t>
  </si>
  <si>
    <t>Share of eligible completed O2C chains with complete and internally consistent CO/SO/DO/DN/invoice/return/receipt references and balances.</t>
  </si>
  <si>
    <t>Consolidated demands</t>
  </si>
  <si>
    <t>Business Central / Inventory</t>
  </si>
  <si>
    <t>Approve or reject demand</t>
  </si>
  <si>
    <t>Compatible approved demands</t>
  </si>
  <si>
    <t>SO line, item, location, on-hand, available, reserved, reservation timestamp, release reason</t>
  </si>
  <si>
    <t>Route demand/requisition to authorized approver based on policy, category, value and cost center</t>
  </si>
  <si>
    <t>Material class / SBU / period</t>
  </si>
  <si>
    <t>Demand-to-indent mapping</t>
  </si>
  <si>
    <t>Business Central Workflow / Custom Demand</t>
  </si>
  <si>
    <t>30-90 days; sample stockout and cancellation cases</t>
  </si>
  <si>
    <t>Shows leverage of demand aggregation and RFQ workload reduction.</t>
  </si>
  <si>
    <t>Business Central approval entry</t>
  </si>
  <si>
    <t>Fully reconciled eligible chains / eligible completed chains</t>
  </si>
  <si>
    <t>Increase where aggregation does not harm service/lead time</t>
  </si>
  <si>
    <t>Department / Budget Approver</t>
  </si>
  <si>
    <t>Trace selected order lines from availability check through reservation/release</t>
  </si>
  <si>
    <t>Fully reconciled chains</t>
  </si>
  <si>
    <t>M-S2P-06</t>
  </si>
  <si>
    <t>Negative stock; reservation absent; manual allocation with no record; stale availability</t>
  </si>
  <si>
    <t>Budget Exception Rate</t>
  </si>
  <si>
    <t>Eligible completed chains</t>
  </si>
  <si>
    <t>Control / Exception</t>
  </si>
  <si>
    <t>Proves actual inventory automation and fulfilment readiness</t>
  </si>
  <si>
    <t>No self-approval; delegated authority; comments/rejection reason; audit trail</t>
  </si>
  <si>
    <t>Share of purchase demands or commitments requiring budget override or exception approval.</t>
  </si>
  <si>
    <t>Order chain / SBU</t>
  </si>
  <si>
    <t>Demand approval cycle time</t>
  </si>
  <si>
    <t>Cases requiring budget exception / cases subject to budget control</t>
  </si>
  <si>
    <t>https://docs.google.com/document/d/1eGvAn9ZvGrCKaBnvot_iqCkITzAsJlsNsOteIiyCT58/edit</t>
  </si>
  <si>
    <t>Sales Eco + Logistics + BC cross-document keys</t>
  </si>
  <si>
    <t>Approval requests, decisions, delegation, comments, timestamps</t>
  </si>
  <si>
    <t>Budget exception cases</t>
  </si>
  <si>
    <t>Critical data/control metric for the control tower.</t>
  </si>
  <si>
    <t>SCM Business Central Project Annexes - UAT / Fit-Gap</t>
  </si>
  <si>
    <t>Budget-controlled cases</t>
  </si>
  <si>
    <t>Increase toward 100%; define documented exclusions</t>
  </si>
  <si>
    <t>Cost center / SBU / category</t>
  </si>
  <si>
    <t>Budget check / approval events</t>
  </si>
  <si>
    <t>Reveals budget-control friction and planning quality.</t>
  </si>
  <si>
    <t>Reduce avoidable exceptions; preserve justified overrides</t>
  </si>
  <si>
    <t>M-O2C-27</t>
  </si>
  <si>
    <t>M-S2P-07</t>
  </si>
  <si>
    <t>Commitment Reconciliation Rate</t>
  </si>
  <si>
    <t>Composite indicator of manual data entry, decisions, approvals, reconciliation, coordination and exception handling in the process.</t>
  </si>
  <si>
    <t>Share of procurement commitments correctly created, released and reconciled to the associated PO/invoice lifecycle.</t>
  </si>
  <si>
    <t>Composite methodology to be calibrated from L5/L6 human-touch evidence; weights not yet approved</t>
  </si>
  <si>
    <t>Fully reconciled commitments / eligible commitments</t>
  </si>
  <si>
    <t>Component scores</t>
  </si>
  <si>
    <t>Reconciled commitments</t>
  </si>
  <si>
    <t>Approved component weights</t>
  </si>
  <si>
    <t>Eligible commitments</t>
  </si>
  <si>
    <t>Index 0-100</t>
  </si>
  <si>
    <t>Process / sub-process / SBU</t>
  </si>
  <si>
    <t>Commitment / cost center / SBU</t>
  </si>
  <si>
    <t>Audit logs + time study + workflow classification</t>
  </si>
  <si>
    <t>Commitment ledger + PO/AP references</t>
  </si>
  <si>
    <t>Executive indicator of avoidable human reliance; must drill to components.</t>
  </si>
  <si>
    <t>Validates committed-spend visibility and accounting integrity.</t>
  </si>
  <si>
    <t>Reduce toward appropriate target, not zero by default</t>
  </si>
  <si>
    <t>Increase toward 100% after accounting design is approved</t>
  </si>
  <si>
    <t>Methodology requires calibration</t>
  </si>
  <si>
    <t>M-O2C-28</t>
  </si>
  <si>
    <t>M-S2P-08</t>
  </si>
  <si>
    <t>Digital Process Adoption</t>
  </si>
  <si>
    <t>Vendor Onboarding Cycle Time</t>
  </si>
  <si>
    <t>Elapsed time from complete vendor application to activation/rejection.</t>
  </si>
  <si>
    <t>Share of eligible process cases executed through the approved digital process without off-system bypass.</t>
  </si>
  <si>
    <t>Average(final vendor decision timestamp - complete application timestamp)</t>
  </si>
  <si>
    <t>Cases executed through approved digital process / total eligible cases</t>
  </si>
  <si>
    <t>Approved digital cases</t>
  </si>
  <si>
    <t>Eligible cases</t>
  </si>
  <si>
    <t>Vendor type / SBU</t>
  </si>
  <si>
    <t>Vendor master / approval workflow</t>
  </si>
  <si>
    <t>Process / SBU / role</t>
  </si>
  <si>
    <t>Shows friction in expanding compliant supply base.</t>
  </si>
  <si>
    <t>System transaction logs + manual exception register</t>
  </si>
  <si>
    <t>Reduce vs baseline subject to KYC/compliance requirements</t>
  </si>
  <si>
    <t>Separates software availability from actual adoption.</t>
  </si>
  <si>
    <t>Increase toward 100% where digital process is mandatory</t>
  </si>
  <si>
    <t>M-S2P-09</t>
  </si>
  <si>
    <t>Approved Vendor Compliance Rate</t>
  </si>
  <si>
    <t>M-O2C-29</t>
  </si>
  <si>
    <t>Control / Compliance</t>
  </si>
  <si>
    <t>Realized Hours Saved</t>
  </si>
  <si>
    <t>Share of procurement-active vendors with valid approval status and required non-expired compliance documents.</t>
  </si>
  <si>
    <t>Business Value</t>
  </si>
  <si>
    <t>S2P-004</t>
  </si>
  <si>
    <t>Active vendors meeting all compliance requirements / active vendors</t>
  </si>
  <si>
    <t>Verified reduction in human processing effort attributable to an implemented transformation.</t>
  </si>
  <si>
    <t>Compliant active vendors</t>
  </si>
  <si>
    <t>(Baseline human minutes per case - post-change human minutes per case) x actual case volume / 60</t>
  </si>
  <si>
    <t>Active vendors</t>
  </si>
  <si>
    <t>Demand Consolidation</t>
  </si>
  <si>
    <t>Verified minutes saved x volume</t>
  </si>
  <si>
    <t>Indent / PR Consolidation</t>
  </si>
  <si>
    <t>Vendor / SBU</t>
  </si>
  <si>
    <t>Group compatible approved demands</t>
  </si>
  <si>
    <t>60</t>
  </si>
  <si>
    <t>BC vendor master + document register</t>
  </si>
  <si>
    <t>Consolidate compatible demands by material class, vendor affinity, need date and procurement strategy</t>
  </si>
  <si>
    <t>Hours / period</t>
  </si>
  <si>
    <t>Management assurance that sourcing only uses governed vendors.</t>
  </si>
  <si>
    <t>Custom Indent / Business Central</t>
  </si>
  <si>
    <t>Initiative / process / SBU</t>
  </si>
  <si>
    <t>Target 100% for mandatory controls</t>
  </si>
  <si>
    <t>Approved indent / requisition</t>
  </si>
  <si>
    <t>Baseline study + post-change event/time evidence</t>
  </si>
  <si>
    <t>SCM Buyer</t>
  </si>
  <si>
    <t>Converts automation into realized productivity value.</t>
  </si>
  <si>
    <t>M-S2P-10</t>
  </si>
  <si>
    <t>Positive only when baseline and post-change evidence meet E4/E5 requirements</t>
  </si>
  <si>
    <t>RFQ Preparation Cycle Time</t>
  </si>
  <si>
    <t>Rules + human consolidation</t>
  </si>
  <si>
    <t>Outcome baseline pending</t>
  </si>
  <si>
    <t>Elapsed time from sourcing-ready approved indent to RFQ issue.</t>
  </si>
  <si>
    <t>EV-O2C-07</t>
  </si>
  <si>
    <t>M-O2C-30</t>
  </si>
  <si>
    <t>Average(RFQ issued timestamp - sourcing-ready timestamp)</t>
  </si>
  <si>
    <t>SO to DO linkage</t>
  </si>
  <si>
    <t>CO-to-SO Straight-Through Rate</t>
  </si>
  <si>
    <t>Only approved demand eligible; source-demand traceability; grouping rules</t>
  </si>
  <si>
    <t>Demand consolidation rate</t>
  </si>
  <si>
    <t>Share of eligible Customer Orders converted to Sales Orders without manual intervention after submission.</t>
  </si>
  <si>
    <t>Demand-to-indent mapping, grouping rule, buyer action, timestamps</t>
  </si>
  <si>
    <t>RFQ / buyer / category</t>
  </si>
  <si>
    <t>COs converted to SO with zero human action events / eligible submitted COs</t>
  </si>
  <si>
    <t>RFQ workspace / purchase quotes</t>
  </si>
  <si>
    <t>Eligible COs converted to SO with zero human action events</t>
  </si>
  <si>
    <t>Sales Order / Delivery Order cross-reference extract</t>
  </si>
  <si>
    <t>Eligible submitted COs</t>
  </si>
  <si>
    <t>Identifies buyer preparation and handoff delay.</t>
  </si>
  <si>
    <t>Business Central / Logistics</t>
  </si>
  <si>
    <t>SBU / customer type / month</t>
  </si>
  <si>
    <t>SO No., DO No., order qty, DO qty, delivered qty, outstanding qty, creation/status timestamps</t>
  </si>
  <si>
    <t>Sales Eco CO events + BC SO creation + integration logs</t>
  </si>
  <si>
    <t>S2P-005</t>
  </si>
  <si>
    <t>M-S2P-11</t>
  </si>
  <si>
    <t>Measures true deterministic conversion rather than feature availability.</t>
  </si>
  <si>
    <t>90-day sample including partial/scheduled deliveries</t>
  </si>
  <si>
    <t>Vendor Quote Response Rate</t>
  </si>
  <si>
    <t>Confirm every DO references one valid SO and cumulative DO quantity does not exceed eligible balance</t>
  </si>
  <si>
    <t>Supplier Engagement</t>
  </si>
  <si>
    <t>Share of invited vendors submitting valid quotations within the sourcing window.</t>
  </si>
  <si>
    <t>Valid quotations received / eligible vendor invitations</t>
  </si>
  <si>
    <t>Valid quotations</t>
  </si>
  <si>
    <t>Eligible invitations</t>
  </si>
  <si>
    <t>Orphan DO; broken quantity balance; duplicate allocation</t>
  </si>
  <si>
    <t>RFQ / vendor / category</t>
  </si>
  <si>
    <t>RFQ invitation and response log</t>
  </si>
  <si>
    <t>Foundation for partial-delivery monitoring and O2C reconciliation</t>
  </si>
  <si>
    <t>Measures supplier-market engagement and sourcing competitiveness.</t>
  </si>
  <si>
    <t>Increase; signed SDD lists &gt;80% as a design benchmark, not verified target</t>
  </si>
  <si>
    <t>Target requires validation</t>
  </si>
  <si>
    <t>M-S2P-12</t>
  </si>
  <si>
    <t>SCM / Finance</t>
  </si>
  <si>
    <t>Quotation Capture Completeness</t>
  </si>
  <si>
    <t>Budget &amp; Commitment Control</t>
  </si>
  <si>
    <t>Budget Availability Check</t>
  </si>
  <si>
    <t>Data Quality</t>
  </si>
  <si>
    <t>Validate budget before commitment</t>
  </si>
  <si>
    <t>Share of quotations containing all required commercial and technical fields and source evidence.</t>
  </si>
  <si>
    <t>Check cost-center budget/availability before requisition or PO approval and route override where permitted</t>
  </si>
  <si>
    <t>Complete quotations / quotations received</t>
  </si>
  <si>
    <t>Business Central + Budget Extension/Integration</t>
  </si>
  <si>
    <t>Complete quotations</t>
  </si>
  <si>
    <t>Increase only for standard policy-compliant orders</t>
  </si>
  <si>
    <t>Quotations received</t>
  </si>
  <si>
    <t>Approved budget source</t>
  </si>
  <si>
    <t>Definition proposed; baseline pending</t>
  </si>
  <si>
    <t>SCM Buyer / Finance</t>
  </si>
  <si>
    <t>Quotation / vendor</t>
  </si>
  <si>
    <t>M-O2C-31</t>
  </si>
  <si>
    <t>RFQ/quote record + attachment</t>
  </si>
  <si>
    <t>CO-to-SO Cycle Time</t>
  </si>
  <si>
    <t>Reduces manual follow-up and unsafe comparison assumptions.</t>
  </si>
  <si>
    <t>Increase toward 100% for required fields</t>
  </si>
  <si>
    <t>Elapsed time from accepted/submitted Customer Order to successful Sales Order creation in the authoritative ERP.</t>
  </si>
  <si>
    <t>Average(SO created timestamp - CO accepted timestamp)</t>
  </si>
  <si>
    <t>M-S2P-13</t>
  </si>
  <si>
    <t>Quote Normalization Exception Rate</t>
  </si>
  <si>
    <t>Exception / Data Quality</t>
  </si>
  <si>
    <t>Share of quotations requiring manual correction or override to normalize currency, UOM, tax, freight or landed-cost factors.</t>
  </si>
  <si>
    <t>CO / SBU / customer type</t>
  </si>
  <si>
    <t>Quotes needing manual normalization exception / quotes evaluated</t>
  </si>
  <si>
    <t>Sales Eco + Business Central correlated timestamps</t>
  </si>
  <si>
    <t>Normalization exception quotes</t>
  </si>
  <si>
    <t>Finds integration, approval and manual-conversion delay.</t>
  </si>
  <si>
    <t>Quotes evaluated</t>
  </si>
  <si>
    <t>Reduce vs verified baseline</t>
  </si>
  <si>
    <t>Deterministic validation + human override</t>
  </si>
  <si>
    <t>RFQ / category / buyer</t>
  </si>
  <si>
    <t>M-O2C-32</t>
  </si>
  <si>
    <t>Comparative statement / calculation log</t>
  </si>
  <si>
    <t>Partial Fulfillment Rate</t>
  </si>
  <si>
    <t>Highlights data-standardization and supplier-input problems.</t>
  </si>
  <si>
    <t>Fulfilment / Exception</t>
  </si>
  <si>
    <t>Reduce avoidable manual normalization</t>
  </si>
  <si>
    <t>Share of eligible orders fulfilled in multiple deliveries or with an undelivered balance after the first delivery.</t>
  </si>
  <si>
    <t>Defined control point; no silent override; CFO authorization for approved exceptions</t>
  </si>
  <si>
    <t>M-S2P-14</t>
  </si>
  <si>
    <t>Orders requiring partial delivery / eligible fulfilled orders</t>
  </si>
  <si>
    <t>Budget exception rate</t>
  </si>
  <si>
    <t>Orders with multiple delivery events or positive balance after first delivery</t>
  </si>
  <si>
    <t>CS Preparation Cycle Time</t>
  </si>
  <si>
    <t>Eligible fulfilled orders</t>
  </si>
  <si>
    <t>Budget balance, request value, check result, override approval</t>
  </si>
  <si>
    <t>Elapsed time from quotation deadline/receipt completion to comparative statement ready for approval.</t>
  </si>
  <si>
    <t>Order / item / plant / SBU</t>
  </si>
  <si>
    <t>SCM Business Central Project Annexes - BC Fit-Gap</t>
  </si>
  <si>
    <t>SO/DO/DN references and quantity-balance events</t>
  </si>
  <si>
    <t>Average(CS ready timestamp - evaluation-ready timestamp)</t>
  </si>
  <si>
    <t>Separates intended split delivery from stock/planning/logistics constraints.</t>
  </si>
  <si>
    <t>S2P-006</t>
  </si>
  <si>
    <t>CS / buyer / category</t>
  </si>
  <si>
    <t>Reduce avoidable partial fulfilment; segment planned splits</t>
  </si>
  <si>
    <t>Comparative Statement</t>
  </si>
  <si>
    <t>Commitment Recording</t>
  </si>
  <si>
    <t>M-O2C-33</t>
  </si>
  <si>
    <t>Measures workload and effectiveness of comparison automation.</t>
  </si>
  <si>
    <t>Record and release procurement commitment</t>
  </si>
  <si>
    <t>Digital Receipt Rate</t>
  </si>
  <si>
    <t>Create approved commitment at agreed control point and release/reconcile it on PO/invoice lifecycle</t>
  </si>
  <si>
    <t>Business Central Extension / Finance</t>
  </si>
  <si>
    <t>M-S2P-15</t>
  </si>
  <si>
    <t>Business Central / approved commitment ledger</t>
  </si>
  <si>
    <t>Share of eligible customer receipts captured through the approved digital Money Receipt/receipt process with authoritative ERP linkage.</t>
  </si>
  <si>
    <t>CS Approval Cycle Time</t>
  </si>
  <si>
    <t>Finance / SCM</t>
  </si>
  <si>
    <t>Elapsed time from CS submission to final sourcing approval.</t>
  </si>
  <si>
    <t>Digitally captured and ERP-linked receipts / eligible customer receipts</t>
  </si>
  <si>
    <t>Average(final decision timestamp - CS submission timestamp)</t>
  </si>
  <si>
    <t>Receipts with approved digital source and ERP posting/reference</t>
  </si>
  <si>
    <t>Eligible customer receipts</t>
  </si>
  <si>
    <t>Approved accounting treatment; reversal/reconciliation; source document traceability</t>
  </si>
  <si>
    <t>EV-O2C-08</t>
  </si>
  <si>
    <t>Commitment reconciliation rate</t>
  </si>
  <si>
    <t>SBU / bank / customer / month</t>
  </si>
  <si>
    <t>CS / value band / approver</t>
  </si>
  <si>
    <t>Trip planning / vehicle allocation</t>
  </si>
  <si>
    <t>Commitment entries, release events, PO/invoice links</t>
  </si>
  <si>
    <t>Approval workflow</t>
  </si>
  <si>
    <t>Sales Eco MR + Business Central receipt/ledger entries</t>
  </si>
  <si>
    <t>SCM - Signed SDD + Finance SDD</t>
  </si>
  <si>
    <t>Finds governance bottlenecks in vendor award.</t>
  </si>
  <si>
    <t>Detects off-system receipt capture and reconciliation risk.</t>
  </si>
  <si>
    <t>Trip, DO membership, route and vehicle/driver assignment log</t>
  </si>
  <si>
    <t>Signed SDD references &lt;48 hours as design benchmark; validate before management target</t>
  </si>
  <si>
    <t>Increase toward 100% where digital receipt is mandatory</t>
  </si>
  <si>
    <t>Logistics App / Logistics owner</t>
  </si>
  <si>
    <t>M-S2P-16</t>
  </si>
  <si>
    <t>Trip ID, DO IDs, stops, vehicle, capacity, driver, eligibility checks, assignment time, override reason</t>
  </si>
  <si>
    <t>Non-Lowest Vendor Selection Rate</t>
  </si>
  <si>
    <t>Commercial Control</t>
  </si>
  <si>
    <t>30-60 days across own/hired vehicles</t>
  </si>
  <si>
    <t>Share of sourcing awards where selected vendor is not the lowest normalized commercial offer.</t>
  </si>
  <si>
    <t>Verify capacity/document/driver eligibility and reconstruct manual overrides</t>
  </si>
  <si>
    <t>Non-lowest selections / sourcing awards with comparable bids</t>
  </si>
  <si>
    <t>Non-lowest awards</t>
  </si>
  <si>
    <t>Allocation outside app; missing capacity checks; invalid driver/vehicle docs</t>
  </si>
  <si>
    <t>Comparable sourcing awards</t>
  </si>
  <si>
    <t>Determines actual transition from spreadsheet/phone planning to digital execution</t>
  </si>
  <si>
    <t>Category / buyer / SBU</t>
  </si>
  <si>
    <t>Comparative Statement / award decision</t>
  </si>
  <si>
    <t>Surfaces where quality, lead time or other factors override price and requires audit-ready rationale.</t>
  </si>
  <si>
    <t>No generic lower target; require justified and approved rationale</t>
  </si>
  <si>
    <t>M-S2P-17</t>
  </si>
  <si>
    <t>Negotiated Savings Rate</t>
  </si>
  <si>
    <t>Business Value / Commercial</t>
  </si>
  <si>
    <t>Verified reduction between approved comparable baseline/initial offer and final awarded normalized commercial value.</t>
  </si>
  <si>
    <t>(Comparable baseline value - awarded normalized value) / comparable baseline value</t>
  </si>
  <si>
    <t>Verified savings value</t>
  </si>
  <si>
    <t>Comparable baseline value</t>
  </si>
  <si>
    <t>RFQ / category / SBU</t>
  </si>
  <si>
    <t>Quote versions + CS + award</t>
  </si>
  <si>
    <t>Quantifies procurement value without conflating price changes or scope changes.</t>
  </si>
  <si>
    <t>Positive only with approved baseline methodology</t>
  </si>
  <si>
    <t>M-S2P-18</t>
  </si>
  <si>
    <t>PR-to-PO Cycle Time</t>
  </si>
  <si>
    <t>Elapsed time from approved purchase requisition/indent to released purchase order.</t>
  </si>
  <si>
    <t>Average(PO released timestamp - PR/indent approved timestamp)</t>
  </si>
  <si>
    <t>PO / category / SBU</t>
  </si>
  <si>
    <t>Demand + sourcing + BC PO events</t>
  </si>
  <si>
    <t>Core sourcing-speed indicator.</t>
  </si>
  <si>
    <t>Signed SDD references &lt;7 days as design benchmark; actual target requires calibration</t>
  </si>
  <si>
    <t>S2P-007</t>
  </si>
  <si>
    <t>M-S2P-19</t>
  </si>
  <si>
    <t>SCM / Finance / Audit</t>
  </si>
  <si>
    <t>PO Auto-Generation Rate</t>
  </si>
  <si>
    <t>Vendor Management</t>
  </si>
  <si>
    <t>Vendor Registration</t>
  </si>
  <si>
    <t>Share of eligible POs generated from approved sourcing decisions without manual re-keying of vendor/line/commercial data.</t>
  </si>
  <si>
    <t>Create vendor application</t>
  </si>
  <si>
    <t>System-generated eligible POs / eligible POs</t>
  </si>
  <si>
    <t>Capture legal, financial, banking, tax, operational and classification details for local/foreign vendors</t>
  </si>
  <si>
    <t>System-generated POs</t>
  </si>
  <si>
    <t>Business Central / Vendor Onboarding Extension</t>
  </si>
  <si>
    <t>Eligible POs</t>
  </si>
  <si>
    <t>Business Central Vendor Master</t>
  </si>
  <si>
    <t>SCM Vendor Management</t>
  </si>
  <si>
    <t>PO / SBU</t>
  </si>
  <si>
    <t>CS-to-PO generation log / BC</t>
  </si>
  <si>
    <t>Measures elimination of re-entry and data leakage.</t>
  </si>
  <si>
    <t>Increase toward 100% for CS-sourced POs</t>
  </si>
  <si>
    <t>Mandatory KYC/compliance fields; duplicate prevention; controlled bank details</t>
  </si>
  <si>
    <t>Vendor onboarding cycle time</t>
  </si>
  <si>
    <t>M-S2P-20</t>
  </si>
  <si>
    <t>Vendor application, documents, verification events, created/approved timestamps</t>
  </si>
  <si>
    <t>PO Approval Cycle Time</t>
  </si>
  <si>
    <t>Elapsed time from PO approval request to final approval/release.</t>
  </si>
  <si>
    <t>Average(release/final decision timestamp - approval request timestamp)</t>
  </si>
  <si>
    <t>S2P-008</t>
  </si>
  <si>
    <t>PO / value band / approver</t>
  </si>
  <si>
    <t>Vendor Approval &amp; Compliance</t>
  </si>
  <si>
    <t>Identifies avoidable approval waiting time.</t>
  </si>
  <si>
    <t>Approve vendor for procurement</t>
  </si>
  <si>
    <t>Reduce vs baseline while preserving authority limits</t>
  </si>
  <si>
    <t>Verify vendor type, legal/compliance documents, bank/tax details and approval conditions before activation</t>
  </si>
  <si>
    <t>Business Central Workflow / Extension</t>
  </si>
  <si>
    <t>M-S2P-21</t>
  </si>
  <si>
    <t>PO Amendment Rate</t>
  </si>
  <si>
    <t>SCM / Finance Approver</t>
  </si>
  <si>
    <t>Quality / Exception</t>
  </si>
  <si>
    <t>Human approval + deterministic controls</t>
  </si>
  <si>
    <t>Share of released POs requiring controlled amendment after initial approval.</t>
  </si>
  <si>
    <t>Pending production evidence</t>
  </si>
  <si>
    <t>Released POs amended / released POs</t>
  </si>
  <si>
    <t>Amended POs</t>
  </si>
  <si>
    <t>EV-O2C-09</t>
  </si>
  <si>
    <t>Released POs</t>
  </si>
  <si>
    <t>Inactive until approved; document expiry controls; maker-checker; change log</t>
  </si>
  <si>
    <t>Loading execution</t>
  </si>
  <si>
    <t>Approved-vendor compliance rate</t>
  </si>
  <si>
    <t>PO / reason / supplier</t>
  </si>
  <si>
    <t>Approval history, document expiry, active/blocked status, change log</t>
  </si>
  <si>
    <t>PO version/change log</t>
  </si>
  <si>
    <t>SCM - Signed SDD + Microsoft workflow guidance</t>
  </si>
  <si>
    <t>Loading advice and actual loading events</t>
  </si>
  <si>
    <t>Reveals requirement quality, supplier uncertainty and change-control load.</t>
  </si>
  <si>
    <t>https://learn.microsoft.com/en-us/dynamics365/business-central/across-workflow</t>
  </si>
  <si>
    <t>Reduce avoidable amendments; analyze by reason</t>
  </si>
  <si>
    <t>DO, item, advised qty, loaded qty, discrepancy reason, user, timestamps</t>
  </si>
  <si>
    <t>M-S2P-22</t>
  </si>
  <si>
    <t>30-60 days; include discrepancy cases</t>
  </si>
  <si>
    <t>Supplier Acknowledgement Rate</t>
  </si>
  <si>
    <t>Supplier Execution</t>
  </si>
  <si>
    <t>Reconcile loaded quantity to authorized DO and subsequent DN/shipment</t>
  </si>
  <si>
    <t>Share of issued POs with documented supplier acknowledgement and confirmed delivery commitment.</t>
  </si>
  <si>
    <t>Paper-only loading; unexplained variance; loaded quantity exceeds authorization</t>
  </si>
  <si>
    <t>POs acknowledged with commitment / issued POs requiring acknowledgement</t>
  </si>
  <si>
    <t>Supports loading accuracy and human-touch analysis</t>
  </si>
  <si>
    <t>Acknowledged POs</t>
  </si>
  <si>
    <t>POs requiring acknowledgement</t>
  </si>
  <si>
    <t>Supplier / category / SBU</t>
  </si>
  <si>
    <t>PO acknowledgement / communication log</t>
  </si>
  <si>
    <t>Improves visibility of supply commitment risk.</t>
  </si>
  <si>
    <t>EV-O2C-10</t>
  </si>
  <si>
    <t>Increase toward 100% where acknowledgement is required</t>
  </si>
  <si>
    <t>Gate / weighbridge</t>
  </si>
  <si>
    <t>M-S2P-23</t>
  </si>
  <si>
    <t>Digital gate-in, weighbridge and gate-out events</t>
  </si>
  <si>
    <t>Supplier On-Time Delivery Rate</t>
  </si>
  <si>
    <t>Gate / Logistics</t>
  </si>
  <si>
    <t>Supplier Service</t>
  </si>
  <si>
    <t>Trip, vehicle, gate-in/out timestamps, gross/tare/net if applicable, gate document status</t>
  </si>
  <si>
    <t>Share of eligible PO lines received by the confirmed/requested date, according to agreed policy.</t>
  </si>
  <si>
    <t>30-60 days by plant</t>
  </si>
  <si>
    <t>On-time received PO lines / eligible received PO lines</t>
  </si>
  <si>
    <t>On-time received lines</t>
  </si>
  <si>
    <t>Match gate-out to valid loaded trip; calculate dwell; inspect missing/duplicate events</t>
  </si>
  <si>
    <t>Eligible received lines</t>
  </si>
  <si>
    <t>Paper register only; missing timestamp; gate-out before loading completion</t>
  </si>
  <si>
    <t>Proves gate-control digitization and identifies plant congestion</t>
  </si>
  <si>
    <t>Supplier / item / category / SBU</t>
  </si>
  <si>
    <t>PO promised/requested date + receipt event</t>
  </si>
  <si>
    <t>Core supplier reliability measure.</t>
  </si>
  <si>
    <t>Increase; target by category after baseline</t>
  </si>
  <si>
    <t>EV-O2C-11</t>
  </si>
  <si>
    <t>M-S2P-24</t>
  </si>
  <si>
    <t>Dispatch / in-transit</t>
  </si>
  <si>
    <t>Partial Receipt Rate</t>
  </si>
  <si>
    <t>Exception / Supplier Service</t>
  </si>
  <si>
    <t>Shipment status history and GPS/telemetry where implemented</t>
  </si>
  <si>
    <t>Share of eligible PO receipts completed in multiple partial receipts rather than in full.</t>
  </si>
  <si>
    <t>S2P-009</t>
  </si>
  <si>
    <t>PO lines with partial receipts / received PO lines</t>
  </si>
  <si>
    <t>Trip, dispatch time, status transitions, route/ETA, location events, exception events</t>
  </si>
  <si>
    <t>Partially received lines</t>
  </si>
  <si>
    <t>Sourcing &amp; RFQ</t>
  </si>
  <si>
    <t>30-60 days</t>
  </si>
  <si>
    <t>RFQ Creation</t>
  </si>
  <si>
    <t>Received PO lines</t>
  </si>
  <si>
    <t>Create RFQ from approved indent</t>
  </si>
  <si>
    <t>Check sequence/timestamps and compare dispatch schedule to actual departure</t>
  </si>
  <si>
    <t>Generate sourcing event with grouped line items, specification, deadline and approved vendor pool</t>
  </si>
  <si>
    <t>Status entered retrospectively; missing location/status history</t>
  </si>
  <si>
    <t>Custom RFQ / Purchase Quotes</t>
  </si>
  <si>
    <t>Supplier / item / PO</t>
  </si>
  <si>
    <t>RFQ / Purchase Quote record</t>
  </si>
  <si>
    <t>Supports dispatch punctuality and actual execution visibility</t>
  </si>
  <si>
    <t>BC purchase/warehouse receipt</t>
  </si>
  <si>
    <t>Indicates supplier fulfillment fragmentation and receiving workload.</t>
  </si>
  <si>
    <t>Rules + human sourcing</t>
  </si>
  <si>
    <t>Analyze, not universally minimize</t>
  </si>
  <si>
    <t>M-S2P-25</t>
  </si>
  <si>
    <t>Approved source demand; controlled specification; submission deadline</t>
  </si>
  <si>
    <t>Incoming QC Pass Rate</t>
  </si>
  <si>
    <t>RFQ preparation cycle time</t>
  </si>
  <si>
    <t>Quality</t>
  </si>
  <si>
    <t>EV-O2C-12</t>
  </si>
  <si>
    <t>Indent-to-RFQ mapping, line items, vendors, deadline, created time</t>
  </si>
  <si>
    <t>Share of inspected incoming quantity/lots passing defined quality criteria without rejection or conditional acceptance.</t>
  </si>
  <si>
    <t>SCM - Signed SDD + BC Fit-Gap</t>
  </si>
  <si>
    <t>Accepted inspected quantity/lots / inspected quantity/lots</t>
  </si>
  <si>
    <t>Accepted inspected quantity/lots</t>
  </si>
  <si>
    <t>Inspected quantity/lots</t>
  </si>
  <si>
    <t>Digital POD record with delivery result/evidence</t>
  </si>
  <si>
    <t>S2P-010</t>
  </si>
  <si>
    <t>Supplier / item / lot / plant</t>
  </si>
  <si>
    <t>Logistics App / Logistics</t>
  </si>
  <si>
    <t>Quality Management inspection records</t>
  </si>
  <si>
    <t>Primary supplier quality outcome.</t>
  </si>
  <si>
    <t>Trip/DO/DN, customer, delivered qty, timestamp, recipient, signature/photo, exception/reason</t>
  </si>
  <si>
    <t>Vendor Shortlisting</t>
  </si>
  <si>
    <t>Increase by supplier/category; preserve strict standards</t>
  </si>
  <si>
    <t>Select eligible vendors</t>
  </si>
  <si>
    <t>30-90 days; sample all exception types</t>
  </si>
  <si>
    <t>Filter approved vendors by category, risk/classification, location, compliance and sourcing policy</t>
  </si>
  <si>
    <t>M-S2P-26</t>
  </si>
  <si>
    <t>RFQ Workspace / Vendor Master</t>
  </si>
  <si>
    <t>Confirm POD completeness and quantity consistency with posted shipment/DN</t>
  </si>
  <si>
    <t>GRN-to-Available-Stock Cycle Time</t>
  </si>
  <si>
    <t>Missing POD; paper-only proof; quantity mismatch; no recipient evidence</t>
  </si>
  <si>
    <t>Elapsed time from physical receipt/GRN initiation to stock becoming available after applicable QC and warehouse controls.</t>
  </si>
  <si>
    <t>Rule-assisted human selection</t>
  </si>
  <si>
    <t>Controls revenue trigger and verifies customer delivery outcome</t>
  </si>
  <si>
    <t>Average(available-stock timestamp - physical receipt timestamp)</t>
  </si>
  <si>
    <t>Only active/eligible vendors; minimum competition rule; override justification</t>
  </si>
  <si>
    <t>Receipt / item / plant</t>
  </si>
  <si>
    <t>Eligible-vendor coverage</t>
  </si>
  <si>
    <t>Warehouse receipt + QC + item ledger</t>
  </si>
  <si>
    <t>Vendor pool, eligibility criteria, invite list, override reason</t>
  </si>
  <si>
    <t>Shows delay in converting received supply into usable inventory.</t>
  </si>
  <si>
    <t>EV-O2C-13</t>
  </si>
  <si>
    <t>Reduce vs baseline; signed SDD's GRN-to-GL &lt;24h is separate design benchmark</t>
  </si>
  <si>
    <t>Delivery exceptions / returns</t>
  </si>
  <si>
    <t>M-S2P-27</t>
  </si>
  <si>
    <t>Three-Way Match STP Rate</t>
  </si>
  <si>
    <t>S2P-011</t>
  </si>
  <si>
    <t>Partial delivery, shortage, rejection, damage and return case records</t>
  </si>
  <si>
    <t>Share of eligible vendor invoices matched to PO and receipt and cleared within tolerance without manual exception handling.</t>
  </si>
  <si>
    <t>Logistics / Sales / Inventory</t>
  </si>
  <si>
    <t>Invoices auto-cleared by 3-way match / eligible invoices</t>
  </si>
  <si>
    <t>RFQ Distribution &amp; Tracking</t>
  </si>
  <si>
    <t>Auto-cleared invoices</t>
  </si>
  <si>
    <t>Issue RFQ and monitor responses</t>
  </si>
  <si>
    <t>Reason, delivered/undelivered qty, owner, disposition, return reference, timestamps, approval</t>
  </si>
  <si>
    <t>Eligible invoices</t>
  </si>
  <si>
    <t>Send controlled RFQ to selected vendors, track delivery, deadline, reminders and response status</t>
  </si>
  <si>
    <t>90 days; all material exceptions</t>
  </si>
  <si>
    <t>RFQ Workspace / Email integration</t>
  </si>
  <si>
    <t>Invoice / vendor / category</t>
  </si>
  <si>
    <t>RFQ event record</t>
  </si>
  <si>
    <t>BC PO/receipt/invoice matching events</t>
  </si>
  <si>
    <t>Key AP automation and control metric.</t>
  </si>
  <si>
    <t>Reconcile exception balance to outstanding order, inventory and financial adjustment</t>
  </si>
  <si>
    <t>Deterministic communication + human follow-up</t>
  </si>
  <si>
    <t>Increase for standardized purchases; signed SDD exception rate &lt;5% is design-only</t>
  </si>
  <si>
    <t>Unowned exception; unresolved balance; manual adjustment without source case</t>
  </si>
  <si>
    <t>M-S2P-28</t>
  </si>
  <si>
    <t>Shows hidden manual effort and financial/control leakage</t>
  </si>
  <si>
    <t>Single approved RFQ version; deadline control; communication audit</t>
  </si>
  <si>
    <t>Three-Way Match Exception Cycle Time</t>
  </si>
  <si>
    <t>Vendor quote response rate</t>
  </si>
  <si>
    <t>Invite sent/delivered, reminder, response status, timestamps</t>
  </si>
  <si>
    <t>Elapsed time from match exception creation to approved resolution/correction.</t>
  </si>
  <si>
    <t>Average(exception closed timestamp - exception opened timestamp)</t>
  </si>
  <si>
    <t>EV-O2C-14</t>
  </si>
  <si>
    <t>Invoice posting</t>
  </si>
  <si>
    <t>S2P-012</t>
  </si>
  <si>
    <t>Exception / reason / owner</t>
  </si>
  <si>
    <t>Posted sales invoice with shipment/DN references and GL impact</t>
  </si>
  <si>
    <t>Quotation Capture</t>
  </si>
  <si>
    <t>Record vendor quotation</t>
  </si>
  <si>
    <t>Capture unit price, tax, freight, lead time, payment terms, warranty, currency and technical conditions</t>
  </si>
  <si>
    <t>Invoice No., customer, shipment/DN, qty, price, tax, posting date, dimensions, AR/revenue/COGS entries</t>
  </si>
  <si>
    <t>RFQ Workspace / Purchase Quote</t>
  </si>
  <si>
    <t>30-90 days across SBUs</t>
  </si>
  <si>
    <t>Quotation record</t>
  </si>
  <si>
    <t>Trace invoice back to eligible shipment; verify amounts/quantities and posting entries</t>
  </si>
  <si>
    <t>Human capture / vendor digital submission</t>
  </si>
  <si>
    <t>Invoice without shipment/reference; duplicate invoice; correction due to system/process error</t>
  </si>
  <si>
    <t>Source document retention; no post-deadline edit without audit; version history</t>
  </si>
  <si>
    <t>Proves invoice automation, accuracy and delivery-to-invoice latency</t>
  </si>
  <si>
    <t>Quotation capture completeness</t>
  </si>
  <si>
    <t>EV-S2P-01</t>
  </si>
  <si>
    <t>Quotation values, attachment, submission time, version, vendor</t>
  </si>
  <si>
    <t>AP exception workflow</t>
  </si>
  <si>
    <t>Entire S2P design baseline</t>
  </si>
  <si>
    <t>Identifies the manual workload behind invoice processing.</t>
  </si>
  <si>
    <t>Signed SCM SDD, BC Fit-Gap, UAT catalogue, approved SOP/process maps</t>
  </si>
  <si>
    <t>Reduce vs baseline while resolving root causes</t>
  </si>
  <si>
    <t>SCM / AESL / implementation partner</t>
  </si>
  <si>
    <t>S2P-013</t>
  </si>
  <si>
    <t>Scope, actors, controls, integrations, approvals, exceptions, target behavior</t>
  </si>
  <si>
    <t>M-S2P-29</t>
  </si>
  <si>
    <t>EV-O2C-15</t>
  </si>
  <si>
    <t>Invoice-to-Post Cycle Time</t>
  </si>
  <si>
    <t>Quotation Normalization</t>
  </si>
  <si>
    <t>Payment receipt / application</t>
  </si>
  <si>
    <t>Elapsed time from complete vendor invoice receipt to approved AP posting.</t>
  </si>
  <si>
    <t>Map every L4-L6 process step to an approved requirement/configuration artifact</t>
  </si>
  <si>
    <t>Normalize vendor quotes</t>
  </si>
  <si>
    <t>Average(posting timestamp - complete invoice received timestamp)</t>
  </si>
  <si>
    <t>Conflicting requirements; unapproved design; missing end-to-end step</t>
  </si>
  <si>
    <t>Normalize currencies, taxes, freight, UOM, payment terms and landed-cost components for comparable evaluation</t>
  </si>
  <si>
    <t>Proves intended process only; does not prove production execution</t>
  </si>
  <si>
    <t>Customer payment and customer-ledger application entries</t>
  </si>
  <si>
    <t>Comparative Statement Extension</t>
  </si>
  <si>
    <t>Approved comparison dataset</t>
  </si>
  <si>
    <t>SCM Buyer / Analyst</t>
  </si>
  <si>
    <t>Invoice / vendor / SBU</t>
  </si>
  <si>
    <t>Deterministic calculation + human review</t>
  </si>
  <si>
    <t>Receipt ID, bank reference, customer, amount, posting date, invoice(s) applied, match confidence/method, residual</t>
  </si>
  <si>
    <t>BC purchase invoice + workflow</t>
  </si>
  <si>
    <t>Measures AP throughput and supplier-payment readiness.</t>
  </si>
  <si>
    <t>30-90 days across major banks/customer types</t>
  </si>
  <si>
    <t>Finance SDD references &lt;24h invoice processing as design benchmark; validate actual target</t>
  </si>
  <si>
    <t>Approved FX/tax sources; formula transparency; no hidden manual adjustment</t>
  </si>
  <si>
    <t>Trace receipt through automatic/manual application and verify AR clearing</t>
  </si>
  <si>
    <t>Quote normalization exception rate</t>
  </si>
  <si>
    <t>M-S2P-30</t>
  </si>
  <si>
    <t>Original quote, normalized values, FX/tax/freight assumptions</t>
  </si>
  <si>
    <t>Unapplied cash; duplicate application; manual spreadsheet matching; unexplained residual</t>
  </si>
  <si>
    <t>On-Time Supplier Payment Rate</t>
  </si>
  <si>
    <t>Business Outcome / Supplier</t>
  </si>
  <si>
    <t>Supports auto-application, DSO, cash visibility and finance workload metrics</t>
  </si>
  <si>
    <t>Share of eligible approved invoices paid according to contractual due date and payment policy.</t>
  </si>
  <si>
    <t>Invoices paid on time / eligible invoices due</t>
  </si>
  <si>
    <t>On-time paid invoices</t>
  </si>
  <si>
    <t>S2P-014</t>
  </si>
  <si>
    <t>Eligible due invoices</t>
  </si>
  <si>
    <t>Vendor Evaluation</t>
  </si>
  <si>
    <t>Vendor / SBU / payment terms</t>
  </si>
  <si>
    <t>Comparative Statement Generation</t>
  </si>
  <si>
    <t>BC vendor ledger / bank/payment batch</t>
  </si>
  <si>
    <t>Build comparative statement</t>
  </si>
  <si>
    <t>Balances supplier relationship and working-capital discipline.</t>
  </si>
  <si>
    <t>Generate vendor-by-vendor comparison across technical, commercial and landed-cost dimensions</t>
  </si>
  <si>
    <t>Optimize to policy, not simply maximize early payment</t>
  </si>
  <si>
    <t>Approved CS record</t>
  </si>
  <si>
    <t>M-S2P-31</t>
  </si>
  <si>
    <t>SCM Buyer / Manager</t>
  </si>
  <si>
    <t>Human Touches per Procurement Case</t>
  </si>
  <si>
    <t>Deterministic calculation + human evaluation</t>
  </si>
  <si>
    <t>Count of distinct human execution, decision, coordination and reconciliation actions in the Source-to-Pay case.</t>
  </si>
  <si>
    <t>Consistent scoring basis; trace to quote; locked approved version</t>
  </si>
  <si>
    <t>Human action events / completed S2P cases</t>
  </si>
  <si>
    <t>CS preparation cycle time</t>
  </si>
  <si>
    <t>Human action events</t>
  </si>
  <si>
    <t>CS version, source quotes, calculated fields, evaluator/timestamps</t>
  </si>
  <si>
    <t>Completed S2P cases</t>
  </si>
  <si>
    <t>Touches / case</t>
  </si>
  <si>
    <t>Case / process step / role</t>
  </si>
  <si>
    <t>Workflow/audit logs + time study</t>
  </si>
  <si>
    <t>Quantifies manual dependency and transformation opportunity.</t>
  </si>
  <si>
    <t>S2P-015</t>
  </si>
  <si>
    <t>Reduce avoidable touches; retain necessary approvals/controls</t>
  </si>
  <si>
    <t>SCM / Technical Function</t>
  </si>
  <si>
    <t>M-S2P-32</t>
  </si>
  <si>
    <t>Technical Evaluation</t>
  </si>
  <si>
    <t>Score technical suitability</t>
  </si>
  <si>
    <t>Evaluate quality, specification compliance, lead time, warranty, certification and other approved criteria</t>
  </si>
  <si>
    <t>Share of eligible standard Source-to-Pay cases completing the defined scope without manual exception intervention.</t>
  </si>
  <si>
    <t>Comparative Statement / Evaluation</t>
  </si>
  <si>
    <t>Eligible cases completed without manual exception intervention / eligible standard cases</t>
  </si>
  <si>
    <t>Approved evaluation record</t>
  </si>
  <si>
    <t>STP cases</t>
  </si>
  <si>
    <t>Eligible standard cases</t>
  </si>
  <si>
    <t>Technical Evaluator</t>
  </si>
  <si>
    <t>Available; evidence mapping required</t>
  </si>
  <si>
    <t>Human decision + system scoring</t>
  </si>
  <si>
    <t>EV-S2P-02</t>
  </si>
  <si>
    <t>Process segment / category / SBU</t>
  </si>
  <si>
    <t>Demand capture</t>
  </si>
  <si>
    <t>Executive indicator of deterministic automation.</t>
  </si>
  <si>
    <t>Named evaluator; criterion weights approved; justification for overrides</t>
  </si>
  <si>
    <t>Demand configuration plus production demand transactions</t>
  </si>
  <si>
    <t>Increase only for well-controlled standard cases</t>
  </si>
  <si>
    <t>Technical evaluation cycle time</t>
  </si>
  <si>
    <t>SCM / requesting functions</t>
  </si>
  <si>
    <t>Scores, criteria, comments, evaluator, timestamps</t>
  </si>
  <si>
    <t>Demand ID, source channel, requester, department, category, item/service, qty, need date, purpose, cost center, timestamps</t>
  </si>
  <si>
    <t>M-S2P-33</t>
  </si>
  <si>
    <t>30-90 days across active SBUs</t>
  </si>
  <si>
    <t>S2P Document-Chain Reconciliation Rate</t>
  </si>
  <si>
    <t>Compare digital demand count to manual/email/Excel demand population and trace sampled cases</t>
  </si>
  <si>
    <t>Share of completed cases with complete and consistent demand/PR/indent/RFQ/quote/CS/PO/receipt/QC/invoice/payment references.</t>
  </si>
  <si>
    <t>Material off-system demand; missing requester/cost center; duplicate requests</t>
  </si>
  <si>
    <t>Fully reconciled completed chains / eligible completed chains</t>
  </si>
  <si>
    <t>Separates software availability from actual procurement adoption</t>
  </si>
  <si>
    <t>S2P-016</t>
  </si>
  <si>
    <t>Procurement case / SBU</t>
  </si>
  <si>
    <t>Commercial Evaluation</t>
  </si>
  <si>
    <t>Cross-document keys across SCM/BC</t>
  </si>
  <si>
    <t>Evaluate total commercial offer</t>
  </si>
  <si>
    <t>Compare price, tax, freight, duty, insurance, payment terms and total landed cost</t>
  </si>
  <si>
    <t>Comparative Statement / Finance</t>
  </si>
  <si>
    <t>Approved landed-cost formula; current rates; visible assumptions</t>
  </si>
  <si>
    <t>Landed-cost variance</t>
  </si>
  <si>
    <t>Commercial inputs, normalized cost, calculation components</t>
  </si>
  <si>
    <t>Core end-to-end control and process-mining prerequisite.</t>
  </si>
  <si>
    <t>Increase toward 100% with documented exclusions</t>
  </si>
  <si>
    <t>M-S2P-34</t>
  </si>
  <si>
    <t>S2P-017</t>
  </si>
  <si>
    <t>Realized Procurement Hours Saved</t>
  </si>
  <si>
    <t>Verified reduction in human processing effort attributable to implemented procurement transformation.</t>
  </si>
  <si>
    <t>Vendor Selection</t>
  </si>
  <si>
    <t>(Baseline human minutes per case - post-change minutes per case) x actual comparable case volume / 60</t>
  </si>
  <si>
    <t>Select winning vendor</t>
  </si>
  <si>
    <t>Verified minutes saved x comparable volume</t>
  </si>
  <si>
    <t>Select vendor based on approved evaluation; require explicit justification and enhanced approval when non-lowest/non-top-ranked vendor is selected</t>
  </si>
  <si>
    <t>Approved CS / vendor decision</t>
  </si>
  <si>
    <t>SCM Manager</t>
  </si>
  <si>
    <t>Human decision with system evidence</t>
  </si>
  <si>
    <t>EV-O2C-16</t>
  </si>
  <si>
    <t>AR aging / collections</t>
  </si>
  <si>
    <t>Decision rationale; conflict-of-interest control; exception approval</t>
  </si>
  <si>
    <t>Count only when baseline and post-change evidence meet E4/E5</t>
  </si>
  <si>
    <t>Non-lowest selection rate</t>
  </si>
  <si>
    <t>Selected vendor, ranking, decision reason, approver</t>
  </si>
  <si>
    <t>Customer ledger aging and collection action history</t>
  </si>
  <si>
    <t>SCM Business Central Project Annexes - UAT</t>
  </si>
  <si>
    <t>Customer, invoice, due date, open amount, aging bucket, reminder/hold/escalation event</t>
  </si>
  <si>
    <t>S2P-018</t>
  </si>
  <si>
    <t>Month-end plus daily/weekly operational view</t>
  </si>
  <si>
    <t>SCM / Finance / Management</t>
  </si>
  <si>
    <t>Reconcile aging to customer ledger; sample overdue cases to collection action</t>
  </si>
  <si>
    <t>Comparative Statement Approval</t>
  </si>
  <si>
    <t>Approve CS/vendor decision</t>
  </si>
  <si>
    <t>Aging not reconciling; overdue cases with no owner/action; off-system tracking</t>
  </si>
  <si>
    <t>Route award decision by amount, risk and exception status through approved authority matrix</t>
  </si>
  <si>
    <t>Supports DSO, overdue ratio and collection-control effectiveness</t>
  </si>
  <si>
    <t>Business Central Workflow / Custom CS</t>
  </si>
  <si>
    <t>Approval entry + CS</t>
  </si>
  <si>
    <t>EV-S2P-03</t>
  </si>
  <si>
    <t>Manager / Head / CFO / authorized approver</t>
  </si>
  <si>
    <t>Automatic replenishment demand</t>
  </si>
  <si>
    <t>Requisition worksheet/planning parameters and accepted/rejected suggestions</t>
  </si>
  <si>
    <t>Inventory Planning / SCM</t>
  </si>
  <si>
    <t>Authority limits; delegation; no self approval; overdue escalation</t>
  </si>
  <si>
    <t>EV-O2C-17</t>
  </si>
  <si>
    <t>Item, location, reorder point, stock position, forecast/planning input, suggested qty/date, user action, reason</t>
  </si>
  <si>
    <t>CS approval cycle time</t>
  </si>
  <si>
    <t>Representative 30-90 days including stockout and reorder cases</t>
  </si>
  <si>
    <t>Approval request, value, approver, delegation, decision time</t>
  </si>
  <si>
    <t>Sales return / credit adjustment</t>
  </si>
  <si>
    <t>Recalculate suggestions for sampled items and compare actual buyer acceptance/override</t>
  </si>
  <si>
    <t>SCM - Signed SDD + Microsoft approval workflows</t>
  </si>
  <si>
    <t>Manual demand despite valid planning parameters; unexplained overrides; stale parameters</t>
  </si>
  <si>
    <t>https://learn.microsoft.com/en-us/dynamics365/business-central/across-set-up-workflows</t>
  </si>
  <si>
    <t>Return order/receipt, inspection/disposition, credit memo and inventory/GL posting</t>
  </si>
  <si>
    <t>Proves actual deterministic planning automation and parameter quality</t>
  </si>
  <si>
    <t>Business Central / Sales / Warehouse / Finance</t>
  </si>
  <si>
    <t>Customer, source DN/invoice, item/qty, reason, approval, receipt, disposition, credit memo, posting entries</t>
  </si>
  <si>
    <t>90 days; all high-value and sampled standard returns</t>
  </si>
  <si>
    <t>Trace source sale to return and confirm quantity/value caps and resulting postings</t>
  </si>
  <si>
    <t>Return without source validation; over-return; unposted adjustment; manual credit outside flow</t>
  </si>
  <si>
    <t>Measures return rate and closes the O2C financial/inventory loop</t>
  </si>
  <si>
    <t>https://learn.microsoft.com/en-us/dynamics365/business-central/across-business-functionality</t>
  </si>
  <si>
    <t>S2P-019</t>
  </si>
  <si>
    <t>Pending configuration and event evidence</t>
  </si>
  <si>
    <t>EV-S2P-04</t>
  </si>
  <si>
    <t>PO Generation</t>
  </si>
  <si>
    <t>Demand / requisition approval</t>
  </si>
  <si>
    <t>Create PO from approved sourcing decision</t>
  </si>
  <si>
    <t>Populate vendor, items, quantities, price, delivery, payment terms, cost center and traceability from approved CS</t>
  </si>
  <si>
    <t>Approval workflow configuration and approval history</t>
  </si>
  <si>
    <t>Business Central Purchase Order</t>
  </si>
  <si>
    <t>SCM / Finance / department approvers</t>
  </si>
  <si>
    <t>Request ID, amount, approver, limit, delegation, decision, comments, timestamps</t>
  </si>
  <si>
    <t>SCM Buyer / System</t>
  </si>
  <si>
    <t>30-90 days; include approvals, rejections, delegations and overdue cases</t>
  </si>
  <si>
    <t>Deterministic generation + human review</t>
  </si>
  <si>
    <t>Check authority path, self-approval controls, delegation period and decision trace</t>
  </si>
  <si>
    <t>Self approval; approval outside system; missing rejection reason; invalid delegate</t>
  </si>
  <si>
    <t>Required for approval-cycle and governance maturity claims</t>
  </si>
  <si>
    <t>No unauthorized price/vendor edits; source CS linkage; valid dimensions</t>
  </si>
  <si>
    <t>PO auto-generation rate</t>
  </si>
  <si>
    <t>https://learn.microsoft.com/en-us/dynamics365/business-central/across-use-workflows</t>
  </si>
  <si>
    <t>PO, source CS, populated fields, change history</t>
  </si>
  <si>
    <t>SCM - Signed SDD + Microsoft purchasing guidance</t>
  </si>
  <si>
    <t>https://learn.microsoft.com/en-us/dynamics365/business-central/purchasing-manage-purchasing</t>
  </si>
  <si>
    <t>EV-O2C-18</t>
  </si>
  <si>
    <t>Cross-document reconciliation</t>
  </si>
  <si>
    <t>CO/SO/DO/DN/invoice/return/receipt reconciliation dataset</t>
  </si>
  <si>
    <t>AESL data / Finance / Process owner</t>
  </si>
  <si>
    <t>Stable IDs and parent-child keys, quantities, amounts, status, timestamps, SBU, customer</t>
  </si>
  <si>
    <t>Rolling 90 days; monthly certification</t>
  </si>
  <si>
    <t>Test referential completeness, quantity and value conservation, duplicates and orphan documents</t>
  </si>
  <si>
    <t>Orphan references; unexplained qty/value imbalance; duplicate document chain</t>
  </si>
  <si>
    <t>Core control-tower evidence for end-to-end process integrity</t>
  </si>
  <si>
    <t>S2P-020</t>
  </si>
  <si>
    <t>Dataset not yet built</t>
  </si>
  <si>
    <t>EV-O2C-19</t>
  </si>
  <si>
    <t>PO Approval &amp; Release</t>
  </si>
  <si>
    <t>Approve and release PO</t>
  </si>
  <si>
    <t>O2C event log completeness</t>
  </si>
  <si>
    <t>Pending production workflow extract</t>
  </si>
  <si>
    <t>Route PO by amount/risk/policy; release only after all approvals and controls pass</t>
  </si>
  <si>
    <t>Business Central Workflow</t>
  </si>
  <si>
    <t>EV-S2P-05</t>
  </si>
  <si>
    <t>Process-mining/event-log table</t>
  </si>
  <si>
    <t>Approver / SCM Buyer</t>
  </si>
  <si>
    <t>Fabric / BI / AESL data</t>
  </si>
  <si>
    <t>Human approval + system release</t>
  </si>
  <si>
    <t>Demand consolidation / indent</t>
  </si>
  <si>
    <t>Case ID, activity, event timestamp, actor/type, source system, SBU, process step ID, outcome/exception</t>
  </si>
  <si>
    <t>Rolling 90 days; daily refresh when operationalized</t>
  </si>
  <si>
    <t>Pending Approval / Released status; authority; SoD; audit trail</t>
  </si>
  <si>
    <t>Demand-to-indent/PR mapping and grouping history</t>
  </si>
  <si>
    <t>PO approval cycle time</t>
  </si>
  <si>
    <t>For each eligible case verify required milestone events exist and timestamps are ordered/credible</t>
  </si>
  <si>
    <t>PO status history, approval entry, release timestamp</t>
  </si>
  <si>
    <t>Missing case/activity/timestamp; event duplication; unjoinable IDs</t>
  </si>
  <si>
    <t>Microsoft Business Central Purchase Approval Workflow</t>
  </si>
  <si>
    <t>Demand IDs, indent/PR ID, grouping attributes, category, need date, vendor affinity, user, timestamps</t>
  </si>
  <si>
    <t>Without this, cycle time, variants, STP and human-dependency metrics are not reliable</t>
  </si>
  <si>
    <t>60-90 days across high-volume categories</t>
  </si>
  <si>
    <t>Trace compatible approved demands into sourcing packages and test orphan/duplicate mappings</t>
  </si>
  <si>
    <t>S2P-021</t>
  </si>
  <si>
    <t>Manual spreadsheet consolidation; orphan demand; repeated RFQ for compatible requests</t>
  </si>
  <si>
    <t>Shows whether sourcing workload is actually consolidated</t>
  </si>
  <si>
    <t>PO Amendment</t>
  </si>
  <si>
    <t>Amend approved PO</t>
  </si>
  <si>
    <t>Record material change, version/reason, assess impact and trigger reapproval where required</t>
  </si>
  <si>
    <t>Business Central Purchase Order / Extension</t>
  </si>
  <si>
    <t>SCM Buyer / Approver</t>
  </si>
  <si>
    <t>Human change + controlled workflow</t>
  </si>
  <si>
    <t>EV-S2P-06</t>
  </si>
  <si>
    <t>Budget control</t>
  </si>
  <si>
    <t>Change log; protected fields; reapproval threshold; no silent amendment</t>
  </si>
  <si>
    <t>PO amendment rate</t>
  </si>
  <si>
    <t>Budget source/interface, validation result and override approval log</t>
  </si>
  <si>
    <t>Before/after values, reason, reapproval record</t>
  </si>
  <si>
    <t>Cost center, available budget, request/PO value, check time, pass/fail, override, approver</t>
  </si>
  <si>
    <t>60-90 days including insufficient-budget cases</t>
  </si>
  <si>
    <t>S2P-022</t>
  </si>
  <si>
    <t>Recompute available budget for sample cases and verify failed checks cannot proceed without approved override</t>
  </si>
  <si>
    <t>Supplier Fulfilment</t>
  </si>
  <si>
    <t>Budget bypass; stale budget; silent override; inconsistent commitment basis</t>
  </si>
  <si>
    <t>Vendor Acknowledgement</t>
  </si>
  <si>
    <t>Determines whether budget governance is system-enforced or procedural</t>
  </si>
  <si>
    <t>Capture supplier commitment</t>
  </si>
  <si>
    <t>Record vendor acceptance, confirmed quantity, promised date and any deviation from PO</t>
  </si>
  <si>
    <t>Business Central / Supplier Communication</t>
  </si>
  <si>
    <t>PO / vendor confirmation</t>
  </si>
  <si>
    <t>Architecture/configuration decision pending</t>
  </si>
  <si>
    <t>Human/vendor response + digital record</t>
  </si>
  <si>
    <t>EV-S2P-07</t>
  </si>
  <si>
    <t>Commitment accounting</t>
  </si>
  <si>
    <t>Confirmed date/qty; deviation approval; communication traceability</t>
  </si>
  <si>
    <t>Supplier acknowledgement rate</t>
  </si>
  <si>
    <t>Acknowledgement, promised date, confirmed qty, deviation</t>
  </si>
  <si>
    <t>Commitment ledger/interface with PR/PO/invoice release and reconciliation events</t>
  </si>
  <si>
    <t>Source document, cost center, commitment value, creation/release/reversal, remaining amount, GL/budget references</t>
  </si>
  <si>
    <t>S2P-023</t>
  </si>
  <si>
    <t>Month-end plus 60-90 day transaction sample</t>
  </si>
  <si>
    <t>Goods Receipt</t>
  </si>
  <si>
    <t>Purchase Receipt</t>
  </si>
  <si>
    <t>Trace selected commitments from source through final invoice/payment and reconcile open commitments</t>
  </si>
  <si>
    <t>Receive goods against PO</t>
  </si>
  <si>
    <t>Unreleased commitment; duplicate commitment; no source linkage; unexplained open balance</t>
  </si>
  <si>
    <t>Record actual receipt by PO, item, quantity, lot/batch and location; preserve outstanding quantity</t>
  </si>
  <si>
    <t>Required before management can rely on committed-spend reporting</t>
  </si>
  <si>
    <t>Business Central Purchase / Warehouse Receipt</t>
  </si>
  <si>
    <t>Warehouse Receiver</t>
  </si>
  <si>
    <t>Human execution + digital posting</t>
  </si>
  <si>
    <t>Released PO required; receipt cannot exceed policy; lot/batch traceability</t>
  </si>
  <si>
    <t>PO-to-receipt cycle time</t>
  </si>
  <si>
    <t>PO/receipt linkage, qty, location, lot, user, timestamp</t>
  </si>
  <si>
    <t>SCM - Signed SDD + Microsoft purchasing</t>
  </si>
  <si>
    <t>S2P-024</t>
  </si>
  <si>
    <t>Not built</t>
  </si>
  <si>
    <t>EV-O2C-20</t>
  </si>
  <si>
    <t>Partial / Over Receipt Control</t>
  </si>
  <si>
    <t>Human dependency baseline</t>
  </si>
  <si>
    <t>Handle partial or excess receipt</t>
  </si>
  <si>
    <t>Maintain received/outstanding balances and enforce configured over-receipt/tolerance/closure rules</t>
  </si>
  <si>
    <t>Human-action classification plus sampled time study</t>
  </si>
  <si>
    <t>Process owner / AESL transformation</t>
  </si>
  <si>
    <t>Warehouse Receiver / SCM</t>
  </si>
  <si>
    <t>L5/L6 step, role, action type, manual/system/automation classification, active time, frequency, exception type</t>
  </si>
  <si>
    <t>Deterministic quantity control + human exception</t>
  </si>
  <si>
    <t>Representative 2-4 weeks plus system event history</t>
  </si>
  <si>
    <t>Reconcile observed/time-study actions to system logs and SOP; separate mandatory controls from avoidable manual work</t>
  </si>
  <si>
    <t>No unapproved over-receipt; balance integrity; closure reason</t>
  </si>
  <si>
    <t>Unmeasured offline work; no distinction between approval/control and repetitive effort</t>
  </si>
  <si>
    <t>Partial receipt rate</t>
  </si>
  <si>
    <t>Required before Human Dependency Index is management-grade</t>
  </si>
  <si>
    <t>Ordered, received, outstanding, over-receipt code/approval</t>
  </si>
  <si>
    <t>EV-O2C-21</t>
  </si>
  <si>
    <t>S2P-025</t>
  </si>
  <si>
    <t>Transformation outcome verification</t>
  </si>
  <si>
    <t>QC / Inventory</t>
  </si>
  <si>
    <t>Approved baseline vs post-change KPI and benefit pack</t>
  </si>
  <si>
    <t>Incoming Inspection</t>
  </si>
  <si>
    <t>Business process owner / Finance / Transformation Office</t>
  </si>
  <si>
    <t>Create and execute QC inspection</t>
  </si>
  <si>
    <t>Baseline period, post-change period, volume normalization, KPI change, human hours saved, cost/value, controls, adoption, assumptions</t>
  </si>
  <si>
    <t>Trigger inspection by SKU/vendor/rule, record results, accepted/rejected quantities and deviation severity</t>
  </si>
  <si>
    <t>Accounting design / production evidence pending</t>
  </si>
  <si>
    <t>Per initiative; 30/60/90-day post-go-live and quarterly thereafter</t>
  </si>
  <si>
    <t>Business Central Quality Management / extension</t>
  </si>
  <si>
    <t>D2POD-001</t>
  </si>
  <si>
    <t>EV-S2P-08</t>
  </si>
  <si>
    <t>Quality inspection record</t>
  </si>
  <si>
    <t>Verify same process scope, comparable volume/mix, attributable change and finance sign-off for monetary benefits</t>
  </si>
  <si>
    <t>Vendor onboarding</t>
  </si>
  <si>
    <t>Quality Inspector</t>
  </si>
  <si>
    <t>Claimed benefit with no baseline; volume/mix distortion; savings not realized operationally</t>
  </si>
  <si>
    <t>Fulfilment Eligibility</t>
  </si>
  <si>
    <t>Rules + human inspection</t>
  </si>
  <si>
    <t>Vendor applications, compliance documents and approval history</t>
  </si>
  <si>
    <t>Only E5 should be treated as realized transformation value</t>
  </si>
  <si>
    <t>Delivery Demand Release</t>
  </si>
  <si>
    <t>Confirm delivery-ready demand</t>
  </si>
  <si>
    <t>Inspection criteria version; source PO/receipt; named inspector; result audit</t>
  </si>
  <si>
    <t>Validate approved SO/DO, customer, credit status, remaining quantity and delivery eligibility before logistics planning</t>
  </si>
  <si>
    <t>Not available yet</t>
  </si>
  <si>
    <t>Incoming QC pass rate</t>
  </si>
  <si>
    <t>Vendor ID, type, legal/tax/bank details, documents, verification, status, approvers, timestamps</t>
  </si>
  <si>
    <t>Inspection record, criteria, result, quantities, lot, timestamps</t>
  </si>
  <si>
    <t>All new vendors in last 90 days plus sampled active vendors</t>
  </si>
  <si>
    <t>Sales / Logistics Planner</t>
  </si>
  <si>
    <t>Trace application to approved BC vendor and test required-field/document controls</t>
  </si>
  <si>
    <t>Rules + human exception handling</t>
  </si>
  <si>
    <t>Active vendor without approval; duplicate vendor; undocumented bank change; expired mandatory document</t>
  </si>
  <si>
    <t>Proves governed vendor-master digitization</t>
  </si>
  <si>
    <t>Only approved, credit-eligible demand; remaining quantity must be positive; full audit trail</t>
  </si>
  <si>
    <t>S2P-026</t>
  </si>
  <si>
    <t>Eligible DO digital adoption</t>
  </si>
  <si>
    <t>QC / Inventory / SCM</t>
  </si>
  <si>
    <t>SO/DO status, credit flag, quantity balances, release timestamp</t>
  </si>
  <si>
    <t>QC Disposition</t>
  </si>
  <si>
    <t>EV-S2P-09</t>
  </si>
  <si>
    <t>RFQ creation / distribution</t>
  </si>
  <si>
    <t>RFQ sourcing event and vendor communication history</t>
  </si>
  <si>
    <t>RFQ ID, source indent/PR, specification, line items, invite list, deadline, issue/reminder/response timestamps</t>
  </si>
  <si>
    <t>60-90 days; all strategic/high-value events plus sample standard RFQs</t>
  </si>
  <si>
    <t>Accept, quarantine, conditionally accept or reject goods</t>
  </si>
  <si>
    <t>Confirm RFQ source approval, vendor eligibility, controlled version and response deadline</t>
  </si>
  <si>
    <t>Control stock availability and route rejected/conditional material to quarantine, corrective action or vendor return</t>
  </si>
  <si>
    <t>Email-only RFQ; missing source requisition; unapproved vendor; uncontrolled RFQ revisions</t>
  </si>
  <si>
    <t>Quality Management + Business Central Inventory</t>
  </si>
  <si>
    <t>Determines actual sourcing digitization and communication traceability</t>
  </si>
  <si>
    <t>QC / Warehouse / SCM</t>
  </si>
  <si>
    <t>Human quality decision + deterministic stock control</t>
  </si>
  <si>
    <t>Blocked stock unavailable; disposition reason; deviation approval; return traceability</t>
  </si>
  <si>
    <t>QC rejection / quarantine rate</t>
  </si>
  <si>
    <t>EV-S2P-10</t>
  </si>
  <si>
    <t>Disposition, blocked stock, corrective action, return order</t>
  </si>
  <si>
    <t>Quotation capture</t>
  </si>
  <si>
    <t>Vendor quotations with source documents and structured commercial/technical fields</t>
  </si>
  <si>
    <t>S2P-027</t>
  </si>
  <si>
    <t>Inventory &amp; Valuation</t>
  </si>
  <si>
    <t>Stock Update / Put-away</t>
  </si>
  <si>
    <t>Move accepted goods to available stock</t>
  </si>
  <si>
    <t>Update inventory ledger, lot/batch/location and valuation only after applicable receipt/QC controls pass</t>
  </si>
  <si>
    <t>Business Central Inventory / Warehouse</t>
  </si>
  <si>
    <t>Warehouse / System</t>
  </si>
  <si>
    <t>Deterministic posting + human warehouse execution</t>
  </si>
  <si>
    <t>No available stock before QA where required; valid costing/location/lot</t>
  </si>
  <si>
    <t>GRN-to-available-stock cycle time</t>
  </si>
  <si>
    <t>Item ledger, warehouse entry, QC status, valuation entry</t>
  </si>
  <si>
    <t>S2P-028</t>
  </si>
  <si>
    <t>Finance / AP</t>
  </si>
  <si>
    <t>Invoice Processing</t>
  </si>
  <si>
    <t>Vendor Invoice Capture</t>
  </si>
  <si>
    <t>Register vendor invoice</t>
  </si>
  <si>
    <t>Capture vendor, invoice number/date, PO/receipt references, quantity, price, tax and attachment/incoming document</t>
  </si>
  <si>
    <t>Business Central Purchase Invoice / Incoming Documents</t>
  </si>
  <si>
    <t>Vendor, quote version, submission time, item/UOM, qty, unit price, tax, freight, currency, lead time, payment terms, attachment</t>
  </si>
  <si>
    <t>AP User</t>
  </si>
  <si>
    <t>60-90 days; sample multiple vendor responses per RFQ</t>
  </si>
  <si>
    <t>Human/digital capture + validation</t>
  </si>
  <si>
    <t>Compare system quote fields to original supplier quotation and check version/deadline integrity</t>
  </si>
  <si>
    <t>Manual re-key without source doc; post-deadline edits; missing commercial fields</t>
  </si>
  <si>
    <t>Duplicate invoice prevention; valid vendor; source attachment; tax fields</t>
  </si>
  <si>
    <t>Required for trusted comparative statements and savings claims</t>
  </si>
  <si>
    <t>Digital invoice capture rate</t>
  </si>
  <si>
    <t>Invoice header/lines, source doc, attachment, capture method</t>
  </si>
  <si>
    <t>Microsoft Business Central Purchasing Setup</t>
  </si>
  <si>
    <t>D2POD-002</t>
  </si>
  <si>
    <t>Pending quote samples</t>
  </si>
  <si>
    <t>https://learn.microsoft.com/en-us/dynamics365/business-central/purchasing-setup-purchasing</t>
  </si>
  <si>
    <t>EV-S2P-11</t>
  </si>
  <si>
    <t>Delivery Order Readiness</t>
  </si>
  <si>
    <t>Comparative statement / normalization</t>
  </si>
  <si>
    <t>Validate DO for planning</t>
  </si>
  <si>
    <t>Confirm DO references SO, customer and delivery point, has valid quantity/UOM and is not cancelled, blocked or fully delivered</t>
  </si>
  <si>
    <t>CS versions, normalized cost calculation and source quote links</t>
  </si>
  <si>
    <t>Business Central + Logistics App</t>
  </si>
  <si>
    <t>Original and normalized values, FX/tax/freight/duty/insurance assumptions, scoring, rank, version, evaluator</t>
  </si>
  <si>
    <t>Logistics Planner</t>
  </si>
  <si>
    <t>60-90 days; include local/foreign and non-lowest selection cases</t>
  </si>
  <si>
    <t>Deterministic validation</t>
  </si>
  <si>
    <t>Recalculate sample landed-cost comparisons and trace every field to quote/master/rate source</t>
  </si>
  <si>
    <t>Spreadsheet-only CS; hidden formulas; untraceable manual adjustment; stale FX/tax rate</t>
  </si>
  <si>
    <t>Proves digital evaluation integrity rather than document digitization only</t>
  </si>
  <si>
    <t>No orphan DO; cumulative delivery cannot exceed source order; status integrity</t>
  </si>
  <si>
    <t>DO readiness pass rate</t>
  </si>
  <si>
    <t>DO/SO linkage, quantities, status, timestamps</t>
  </si>
  <si>
    <t>Extension/configuration evidence pending</t>
  </si>
  <si>
    <t>EV-S2P-12</t>
  </si>
  <si>
    <t>Vendor selection / CS approval</t>
  </si>
  <si>
    <t>D2POD-003</t>
  </si>
  <si>
    <t>Source Location Selection</t>
  </si>
  <si>
    <t>Choose eligible source location using inventory, delivery point, lead time, delivery priority and authority rules</t>
  </si>
  <si>
    <t>Logistics App + Business Central</t>
  </si>
  <si>
    <t>Business Central Inventory</t>
  </si>
  <si>
    <t>Rule-assisted human decision</t>
  </si>
  <si>
    <t>Award decision and approval workflow history</t>
  </si>
  <si>
    <t>Only valid source locations; override reason mandatory; inventory feasibility</t>
  </si>
  <si>
    <t>Source location override rate</t>
  </si>
  <si>
    <t>Selected vendor, commercial rank, technical score, rationale, value, approver chain, decision timestamps</t>
  </si>
  <si>
    <t>Candidate locations, selected source, stock, reason, user/timestamp</t>
  </si>
  <si>
    <t>60-90 days including exception/non-lowest awards</t>
  </si>
  <si>
    <t>LogisticsDistributionPRDv1_2 + Inventory SDD</t>
  </si>
  <si>
    <t>Check selection against approved CS and authority matrix; verify exception rationale</t>
  </si>
  <si>
    <t>Offline award decision; non-lowest selection without justification; approval mismatch</t>
  </si>
  <si>
    <t>Supports audit-ready sourcing and commercial control metrics</t>
  </si>
  <si>
    <t>EV-S2P-13</t>
  </si>
  <si>
    <t>PO generation / approval</t>
  </si>
  <si>
    <t>Purchase orders, source CS/quote, approval entries and release history</t>
  </si>
  <si>
    <t>Business Central / SCM</t>
  </si>
  <si>
    <t>S2P-029</t>
  </si>
  <si>
    <t>PO No., vendor, lines, price, qty, dimensions, source CS, approval status, approver, release timestamp</t>
  </si>
  <si>
    <t>Finance / SCM / Inventory</t>
  </si>
  <si>
    <t>60-90 days across SBUs and value bands</t>
  </si>
  <si>
    <t>Trace PO to approved sourcing decision and verify protected fields/authority path</t>
  </si>
  <si>
    <t>Three-Way Match</t>
  </si>
  <si>
    <t>Manual PO with no source; vendor/price changed post-approval; offline approval</t>
  </si>
  <si>
    <t>Match PO, receipt and invoice</t>
  </si>
  <si>
    <t>Required to assess PO automation, approval latency and control effectiveness</t>
  </si>
  <si>
    <t>Compare ordered/received/invoiced quantity and price; auto-pass within approved tolerances and raise exceptions otherwise</t>
  </si>
  <si>
    <t>Business Central Purchase Invoice / Extension</t>
  </si>
  <si>
    <t>AP User / System</t>
  </si>
  <si>
    <t>Pending BC production extract</t>
  </si>
  <si>
    <t>Deterministic matching + human exception resolution</t>
  </si>
  <si>
    <t>EV-S2P-14</t>
  </si>
  <si>
    <t>PO amendment</t>
  </si>
  <si>
    <t>Approved tolerance; duplicate prevention; unresolved variance blocks posting/payment</t>
  </si>
  <si>
    <t>Three-way match STP rate</t>
  </si>
  <si>
    <t>PO change history, version/reason and reapproval events</t>
  </si>
  <si>
    <t>PO qty/price, receipt qty, invoice qty/price, tolerance result</t>
  </si>
  <si>
    <t>Before/after vendor/item/qty/price/date/terms, reason, user, materiality, reapproval decision</t>
  </si>
  <si>
    <t>All material amendments in last 90 days</t>
  </si>
  <si>
    <t>Verify protected-field changes trigger required control and retain prior values</t>
  </si>
  <si>
    <t>D2POD-004</t>
  </si>
  <si>
    <t>Inventory / Logistics</t>
  </si>
  <si>
    <t>Silent amendment; missing reason; no reapproval for material change</t>
  </si>
  <si>
    <t>S2P-030</t>
  </si>
  <si>
    <t>Shows whether digitization preserves procurement governance after PO release</t>
  </si>
  <si>
    <t>Inventory Availability Validation</t>
  </si>
  <si>
    <t>Check fulfilment stock</t>
  </si>
  <si>
    <t>Invoice Exception Resolution</t>
  </si>
  <si>
    <t>Validate on-hand, committed, reserved and available stock for the selected location before trip planning</t>
  </si>
  <si>
    <t>Resolve match or policy variance</t>
  </si>
  <si>
    <t>Pending configuration/production evidence</t>
  </si>
  <si>
    <t>Investigate quantity/price/tax/receipt variance, assign owner, obtain approval or correction and close exception</t>
  </si>
  <si>
    <t>System / Inventory Planner</t>
  </si>
  <si>
    <t>EV-S2P-15</t>
  </si>
  <si>
    <t>Business Central Workflow / Exception Queue</t>
  </si>
  <si>
    <t>Supplier acknowledgement / delivery commitment</t>
  </si>
  <si>
    <t>AP / SCM / Finance Approver</t>
  </si>
  <si>
    <t>Human exception workflow</t>
  </si>
  <si>
    <t>No negative availability; correct location/item/UOM; timestamped availability basis</t>
  </si>
  <si>
    <t>Vendor acknowledgement and confirmed promise data</t>
  </si>
  <si>
    <t>Inventory availability pass rate</t>
  </si>
  <si>
    <t>Availability snapshot, item/location, qty, committed/reserved balance</t>
  </si>
  <si>
    <t>SCM / supplier communication</t>
  </si>
  <si>
    <t>No payment with unresolved exception; owner/SLA; reason and approval trail</t>
  </si>
  <si>
    <t>PO, supplier, acknowledgement time, confirmed qty/date, deviation, buyer response</t>
  </si>
  <si>
    <t>Three-way match exception cycle time</t>
  </si>
  <si>
    <t>60-90 days for suppliers with formal acknowledgement requirement</t>
  </si>
  <si>
    <t>Exception reason, owner, corrective action, approval, timestamps</t>
  </si>
  <si>
    <t>Compare promised dates used in performance metrics to documented supplier commitment</t>
  </si>
  <si>
    <t>SCM - Signed SDD + SCM UAT Catalogue</t>
  </si>
  <si>
    <t>No digital commitment; promised date overwritten; deviations tracked only in email</t>
  </si>
  <si>
    <t>Prerequisite for credible supplier on-time-delivery metrics</t>
  </si>
  <si>
    <t>S2P-031</t>
  </si>
  <si>
    <t>EV-S2P-16</t>
  </si>
  <si>
    <t>Purchase receipt / GRN</t>
  </si>
  <si>
    <t>AP Posting</t>
  </si>
  <si>
    <t>Posted purchase/warehouse receipts linked to released PO</t>
  </si>
  <si>
    <t>Post approved vendor invoice</t>
  </si>
  <si>
    <t>Create AP and expense/inventory/tax ledger entries after validation and approved matching</t>
  </si>
  <si>
    <t>PO, receipt, item, ordered/received/outstanding qty, lot/batch, location, receiver, timestamps</t>
  </si>
  <si>
    <t>Business Central Finance</t>
  </si>
  <si>
    <t>60-90 days; include partial and over-receipt attempts</t>
  </si>
  <si>
    <t>M-D2POD-01</t>
  </si>
  <si>
    <t>Reconcile ordered/received/outstanding quantity and test over-receipt control</t>
  </si>
  <si>
    <t>System / AP</t>
  </si>
  <si>
    <t>Delivery-to-POD End-to-End Cycle Time</t>
  </si>
  <si>
    <t>Receipt without PO; unexplained excess; paper GRN not represented in BC; quantity imbalance</t>
  </si>
  <si>
    <t>Proves actual inventory-side execution of procurement</t>
  </si>
  <si>
    <t>Elapsed time from delivery-ready release to completed POD/closed delivery outcome.</t>
  </si>
  <si>
    <t>Balanced posting; open period; valid dimensions; source-document traceability</t>
  </si>
  <si>
    <t>Average(POD/closure timestamp - delivery-ready timestamp)</t>
  </si>
  <si>
    <t>Invoice-to-post cycle time</t>
  </si>
  <si>
    <t>Posted invoice, vendor ledger, GL entries, dimensions, posting time</t>
  </si>
  <si>
    <t>DO / trip / SBU</t>
  </si>
  <si>
    <t>Sales/BC + Logistics event timestamps</t>
  </si>
  <si>
    <t>Primary end-to-end service and execution latency measure.</t>
  </si>
  <si>
    <t>S2P-032</t>
  </si>
  <si>
    <t>D2POD-005</t>
  </si>
  <si>
    <t>Finance / Treasury</t>
  </si>
  <si>
    <t>Payment Processing</t>
  </si>
  <si>
    <t>Payment Proposal</t>
  </si>
  <si>
    <t>Select invoices for payment</t>
  </si>
  <si>
    <t>Reserve/release stock</t>
  </si>
  <si>
    <t>M-D2POD-02</t>
  </si>
  <si>
    <t>Reserve eligible stock to the DO/trip and release automatically on cancellation, reassignment or expiry</t>
  </si>
  <si>
    <t>Prepare payment batch/proposal based on due date, payment terms, cash plan, holds and approved vendor bank details</t>
  </si>
  <si>
    <t>Eligible DO Digital Adoption</t>
  </si>
  <si>
    <t>Business Central Finance / Banking</t>
  </si>
  <si>
    <t>Share of eligible delivery orders planned and executed through the approved digital logistics flow.</t>
  </si>
  <si>
    <t>AP / Treasury</t>
  </si>
  <si>
    <t>Digitally processed eligible DOs / total eligible DOs</t>
  </si>
  <si>
    <t>Rules + human review</t>
  </si>
  <si>
    <t>Digitally processed eligible DOs</t>
  </si>
  <si>
    <t>Eligible DOs</t>
  </si>
  <si>
    <t>No blocked/held invoice; bank-detail change control; segregation of duties</t>
  </si>
  <si>
    <t>SBU / plant / month</t>
  </si>
  <si>
    <t>On-time payment rate</t>
  </si>
  <si>
    <t>BC + Logistics App + manual register</t>
  </si>
  <si>
    <t>Due invoices, payment proposal, holds, bank details, selection reason</t>
  </si>
  <si>
    <t>Detects spreadsheet/phone/paper bypass.</t>
  </si>
  <si>
    <t>Increase toward 100% where mandatory</t>
  </si>
  <si>
    <t>M-D2POD-03</t>
  </si>
  <si>
    <t>S2P-033</t>
  </si>
  <si>
    <t>DO Readiness Pass Rate</t>
  </si>
  <si>
    <t>Share of DOs passing all eligibility and data checks on first evaluation.</t>
  </si>
  <si>
    <t>Payment Approval &amp; Execution</t>
  </si>
  <si>
    <t>Reservation linked to source demand; controlled release; no duplicate allocation</t>
  </si>
  <si>
    <t>DOs passing first check / DOs checked</t>
  </si>
  <si>
    <t>Approve and execute vendor payment</t>
  </si>
  <si>
    <t>DOs passing first check</t>
  </si>
  <si>
    <t>Apply authority/SoD, generate bank payment and post vendor/bank entries after approval</t>
  </si>
  <si>
    <t>Reservation entries, source DO, quantity, create/release events</t>
  </si>
  <si>
    <t>DOs checked</t>
  </si>
  <si>
    <t>Payment Initiator / Approver / Treasury</t>
  </si>
  <si>
    <t>SBU / plant / reason</t>
  </si>
  <si>
    <t>Human approval + deterministic posting</t>
  </si>
  <si>
    <t>BC + Logistics validation events</t>
  </si>
  <si>
    <t>D2POD-006</t>
  </si>
  <si>
    <t>EV-S2P-17</t>
  </si>
  <si>
    <t>Shows upstream data/process quality entering logistics.</t>
  </si>
  <si>
    <t>Incoming quality inspection</t>
  </si>
  <si>
    <t>Increase; analyze failures by cause</t>
  </si>
  <si>
    <t>Delivery Scheduling</t>
  </si>
  <si>
    <t>Delivery Priority &amp; Commitment</t>
  </si>
  <si>
    <t>Quality inspection templates/rules and actual inspection results</t>
  </si>
  <si>
    <t>Initiator != approver; payment limit; approved bank account; audit trail</t>
  </si>
  <si>
    <t>Set delivery window</t>
  </si>
  <si>
    <t>M-D2POD-04</t>
  </si>
  <si>
    <t>Payment approval cycle time</t>
  </si>
  <si>
    <t>Prioritize eligible DOs and assign planned delivery/dispatch window based on customer promise, urgency, route and capacity</t>
  </si>
  <si>
    <t>DO-Ready-to-Trip-Plan Cycle Time</t>
  </si>
  <si>
    <t>PO/receipt, item/lot, template/version, criteria/results, accepted/rejected qty, inspector, timestamps</t>
  </si>
  <si>
    <t>Batch, approval entry, bank file/reference, posting entries, timestamps</t>
  </si>
  <si>
    <t>60-90 days across critical QC-required SKUs</t>
  </si>
  <si>
    <t>Elapsed time from DO readiness to assignment to an approved trip plan.</t>
  </si>
  <si>
    <t>Trace receipt to inspection and verify result controls inventory availability/disposition</t>
  </si>
  <si>
    <t>Average(trip-plan timestamp - DO-ready timestamp)</t>
  </si>
  <si>
    <t>Human planning + rule assistance</t>
  </si>
  <si>
    <t>Critical stock available without inspection; paper-only QC; missing lot/result linkage</t>
  </si>
  <si>
    <t>S2P-034</t>
  </si>
  <si>
    <t>Proves controlled QC digitization and supports supplier-quality analysis</t>
  </si>
  <si>
    <t>Vendor Performance &amp; Reconciliation</t>
  </si>
  <si>
    <t>Priority policy; promised-date traceability; manual override reason</t>
  </si>
  <si>
    <t>DO / SBU / plant</t>
  </si>
  <si>
    <t>Delivery schedule adherence</t>
  </si>
  <si>
    <t>Vendor Account Reconciliation</t>
  </si>
  <si>
    <t>BC + Logistics App</t>
  </si>
  <si>
    <t>Planned dispatch/delivery, priority, promise date, override</t>
  </si>
  <si>
    <t>Reconcile vendor statement and open items</t>
  </si>
  <si>
    <t>Identifies planning backlog and capacity delay.</t>
  </si>
  <si>
    <t>LogisticsDistributionPRDv1_2</t>
  </si>
  <si>
    <t>Reconcile vendor invoices, credit notes, payments, advances and disputed/unapplied items</t>
  </si>
  <si>
    <t>AP / SCM</t>
  </si>
  <si>
    <t>M-D2POD-05</t>
  </si>
  <si>
    <t>Source Location Override Rate</t>
  </si>
  <si>
    <t>D2POD-007</t>
  </si>
  <si>
    <t>Exception / Planning</t>
  </si>
  <si>
    <t>Share of source-location decisions manually changed from the system/rule recommendation or default.</t>
  </si>
  <si>
    <t>Unreconciled items owned; no unsupported manual write-off; audit trail</t>
  </si>
  <si>
    <t>Overridden source decisions / source decisions with recommendation</t>
  </si>
  <si>
    <t>Trip Consolidation</t>
  </si>
  <si>
    <t>Vendor reconciliation exception rate</t>
  </si>
  <si>
    <t>Overridden source decisions</t>
  </si>
  <si>
    <t>Vendor ledger, statement, applied/unapplied items, disputes</t>
  </si>
  <si>
    <t>Source decisions with recommendation</t>
  </si>
  <si>
    <t>Consolidate compatible DOs by source, route, delivery window, product constraints and vehicle capacity</t>
  </si>
  <si>
    <t>Plant / route / item / SBU</t>
  </si>
  <si>
    <t>Logistics allocation events</t>
  </si>
  <si>
    <t>S2P-035</t>
  </si>
  <si>
    <t>Reveals rule weakness, stock-data issues or legitimate planner judgment.</t>
  </si>
  <si>
    <t>SCM / QC / Finance</t>
  </si>
  <si>
    <t>Reduce avoidable overrides; preserve justified exceptions</t>
  </si>
  <si>
    <t>No incompatible load; all DOs eligible; source quantity preserved</t>
  </si>
  <si>
    <t>Vendor Performance Review</t>
  </si>
  <si>
    <t>M-D2POD-06</t>
  </si>
  <si>
    <t>Update vendor scorecard</t>
  </si>
  <si>
    <t>Trip ID, DO membership, source, constraints, planner/timestamp</t>
  </si>
  <si>
    <t>Inventory Availability Pass Rate</t>
  </si>
  <si>
    <t>Measure quote response, price competitiveness, lead-time adherence, quality, exceptions and commercial performance</t>
  </si>
  <si>
    <t>BI / Business Central / SCM Analytics</t>
  </si>
  <si>
    <t>Share of eligible delivery lines with sufficient available stock at selected source when planned.</t>
  </si>
  <si>
    <t>D2POD-008</t>
  </si>
  <si>
    <t>Lines with sufficient stock / lines checked</t>
  </si>
  <si>
    <t>SCM Manager / Process Owner</t>
  </si>
  <si>
    <t>Lines with sufficient stock</t>
  </si>
  <si>
    <t>Analytics / rules; future AI assistance</t>
  </si>
  <si>
    <t>Route &amp; Stop Sequencing</t>
  </si>
  <si>
    <t>Plan route and stop order</t>
  </si>
  <si>
    <t>Define delivery stops and sequence considering geography, commitments, vehicle constraints and operational rules</t>
  </si>
  <si>
    <t>Metric lineage; verified source events; transparent weighting; no automated punitive decision without governance</t>
  </si>
  <si>
    <t>Logistics App / Mapping</t>
  </si>
  <si>
    <t>Vendor performance score</t>
  </si>
  <si>
    <t>Connects inventory quality to delivery readiness.</t>
  </si>
  <si>
    <t>2026 QMS fit validated; AGI production evidence pending</t>
  </si>
  <si>
    <t>RFQ, PO, receipt, QC, invoice, payment and exception history</t>
  </si>
  <si>
    <t>Increase; segment stockout causes</t>
  </si>
  <si>
    <t>EV-S2P-18</t>
  </si>
  <si>
    <t>QC rejection / vendor return</t>
  </si>
  <si>
    <t>M-D2POD-07</t>
  </si>
  <si>
    <t>Quarantine/blocked inventory, nonconformance case, return order and vendor claim</t>
  </si>
  <si>
    <t>S2P-036</t>
  </si>
  <si>
    <t>QC / SCM / Warehouse</t>
  </si>
  <si>
    <t>Share of eligible delivery lines reserved automatically without manual allocation.</t>
  </si>
  <si>
    <t>Rejected qty, lot, reason, disposition, quarantine/bin/block status, return doc, corrective action</t>
  </si>
  <si>
    <t>Automatically reserved lines / eligible lines</t>
  </si>
  <si>
    <t>S2P Performance Management</t>
  </si>
  <si>
    <t>90 days; all rejected/conditional cases</t>
  </si>
  <si>
    <t>End-to-End Process Monitoring</t>
  </si>
  <si>
    <t>Reconcile rejected quantity from inspection to blocked stock and final return/disposition</t>
  </si>
  <si>
    <t>Eligible lines</t>
  </si>
  <si>
    <t>Rejected stock usable; manual disposal; missing return reference; unresolved nonconformance</t>
  </si>
  <si>
    <t>Monitor Source-to-Pay performance</t>
  </si>
  <si>
    <t>Measures control integrity around nonconforming purchased material</t>
  </si>
  <si>
    <t>Item / source / SBU</t>
  </si>
  <si>
    <t>Track demand-to-payment cycle, digital adoption, human touches, STP, exceptions, savings, supplier service, control effectiveness and realized value</t>
  </si>
  <si>
    <t>Fabric / Power BI / Process Intelligence</t>
  </si>
  <si>
    <t>Event data from Business Central and SCM systems</t>
  </si>
  <si>
    <t>Shows inventory-allocation automation.</t>
  </si>
  <si>
    <t>Pending production cases</t>
  </si>
  <si>
    <t>Process Owner / Management</t>
  </si>
  <si>
    <t>Increase for standardized cases</t>
  </si>
  <si>
    <t>EV-S2P-19</t>
  </si>
  <si>
    <t>Vendor invoice / three-way match</t>
  </si>
  <si>
    <t>M-D2POD-08</t>
  </si>
  <si>
    <t>Delivery Schedule Adherence</t>
  </si>
  <si>
    <t>Purchase invoices with PO/receipt links, match result and exception history</t>
  </si>
  <si>
    <t>Service / Planning</t>
  </si>
  <si>
    <t>Share of deliveries executed within the committed planning window.</t>
  </si>
  <si>
    <t>Invoice, vendor, PO, receipt, ordered/received/invoiced qty, price, tax, tolerance result, exception owner</t>
  </si>
  <si>
    <t>60-90 days; include passed and failed matches</t>
  </si>
  <si>
    <t>Customer delivery constraints; route feasibility; override trace</t>
  </si>
  <si>
    <t>Recalculate sample matches and confirm exceptions block posting/payment until resolution</t>
  </si>
  <si>
    <t>Route-plan adherence</t>
  </si>
  <si>
    <t>Planned sequence, actual sequence, distance/time, override reason</t>
  </si>
  <si>
    <t>Invoice without PO/receipt; tolerance bypass; spreadsheet match; payment despite unresolved variance</t>
  </si>
  <si>
    <t>Required for STP, AP automation and payment-control maturity</t>
  </si>
  <si>
    <t>Deliveries within committed window / scheduled deliveries</t>
  </si>
  <si>
    <t>Deliveries within committed window</t>
  </si>
  <si>
    <t>D2POD-009</t>
  </si>
  <si>
    <t>Stable case IDs; event timestamps; common process taxonomy; verified KPI lineage</t>
  </si>
  <si>
    <t>Scheduled deliveries</t>
  </si>
  <si>
    <t>S2P end-to-end cycle time</t>
  </si>
  <si>
    <t>EV-S2P-20</t>
  </si>
  <si>
    <t>Cross-system event log from demand through payment</t>
  </si>
  <si>
    <t>Customer / route / SBU</t>
  </si>
  <si>
    <t>AP posting / vendor ledger</t>
  </si>
  <si>
    <t>Microsoft Business Central + Process Intelligence validation</t>
  </si>
  <si>
    <t>Logistics schedule + actual events</t>
  </si>
  <si>
    <t>Measures planning reliability separately from final OTIF.</t>
  </si>
  <si>
    <t>Posted purchase invoice, vendor ledger and GL/tax/dimension entries</t>
  </si>
  <si>
    <t>Invoice No., posting date, vendor, amount, tax, dimensions, ledger entries, source references</t>
  </si>
  <si>
    <t>60-90 days across local/foreign vendors</t>
  </si>
  <si>
    <t>M-D2POD-09</t>
  </si>
  <si>
    <t>Trace invoice to PO/receipt/match result and reconcile vendor/GL postings</t>
  </si>
  <si>
    <t>Trip Consolidation Rate</t>
  </si>
  <si>
    <t>Missing source; invalid dimension; duplicate invoice; manual correction due process failure</t>
  </si>
  <si>
    <t>Shows conversion from procurement execution to financial liability</t>
  </si>
  <si>
    <t>Share of eligible DOs combined into multi-order trips where consolidation is operationally valid.</t>
  </si>
  <si>
    <t>Payload Planning</t>
  </si>
  <si>
    <t>DOs in consolidated trips / consolidation-eligible DOs</t>
  </si>
  <si>
    <t>Calculate planned load</t>
  </si>
  <si>
    <t>DOs in consolidated trips</t>
  </si>
  <si>
    <t>Check weight/volume/product compatibility against practical and legal vehicle capacity before assignment</t>
  </si>
  <si>
    <t>EV-S2P-21</t>
  </si>
  <si>
    <t>Consolidation-eligible DOs</t>
  </si>
  <si>
    <t>Payment proposal / approval / execution</t>
  </si>
  <si>
    <t>Logistics App + Vehicle Master</t>
  </si>
  <si>
    <t>E3-E5</t>
  </si>
  <si>
    <t>Route / plant / SBU</t>
  </si>
  <si>
    <t>Payment batches, approval history, vendor-bank data and bank posting/reference</t>
  </si>
  <si>
    <t>Trip plan + DO membership</t>
  </si>
  <si>
    <t>Shows planning efficiency and potential transport-cost leverage.</t>
  </si>
  <si>
    <t>Invoices selected, due date, holds, bank account, initiator, approver, limit, bank reference, posting time</t>
  </si>
  <si>
    <t>Optimize, not maximize indiscriminately</t>
  </si>
  <si>
    <t>60-90 days; all high-value plus sampled routine batches</t>
  </si>
  <si>
    <t>No overload; approved capacity basis; product/load compatibility</t>
  </si>
  <si>
    <t>Verify maker-checker/limits, approved vendor bank details and payment-to-invoice application</t>
  </si>
  <si>
    <t>M-D2POD-10</t>
  </si>
  <si>
    <t>Payload load factor</t>
  </si>
  <si>
    <t>Initiator approves own payment; unauthorized bank detail; offline approval; duplicate payment</t>
  </si>
  <si>
    <t>Route Plan Adherence</t>
  </si>
  <si>
    <t>Planned quantity/weight/volume, vehicle capacity, constraint checks</t>
  </si>
  <si>
    <t>Control-critical evidence; higher maturity requires strong SoD rather than maximum autonomy</t>
  </si>
  <si>
    <t>Execution / Planning</t>
  </si>
  <si>
    <t>Share of trips following the planned stop sequence/route within defined tolerance.</t>
  </si>
  <si>
    <t>Pending production/control test</t>
  </si>
  <si>
    <t>Trips within route/sequence tolerance / tracked trips</t>
  </si>
  <si>
    <t>EV-S2P-22</t>
  </si>
  <si>
    <t>Trips within tolerance</t>
  </si>
  <si>
    <t>Vendor performance</t>
  </si>
  <si>
    <t>Tracked trips</t>
  </si>
  <si>
    <t>D2POD-010</t>
  </si>
  <si>
    <t>Vendor performance dataset/scorecard derived from sourcing, delivery, QC and AP events</t>
  </si>
  <si>
    <t>Trip / route / SBU</t>
  </si>
  <si>
    <t>SCM Analytics / Fabric / BI</t>
  </si>
  <si>
    <t>Vehicle / Transporter Allocation</t>
  </si>
  <si>
    <t>Logistics App + GPS</t>
  </si>
  <si>
    <t>Quote response, normalized price, awarded value, promised/actual receipt, QC result, exceptions, payment/dispute data</t>
  </si>
  <si>
    <t>Transport Mode Selection</t>
  </si>
  <si>
    <t>Highlights planning quality, field deviation and route-control issues.</t>
  </si>
  <si>
    <t>Rolling 6-12 months; monthly refresh</t>
  </si>
  <si>
    <t>Select own vs hired/transporter</t>
  </si>
  <si>
    <t>Increase where route control is applicable</t>
  </si>
  <si>
    <t>Trace each score component to underlying transactions and review weighting/governance</t>
  </si>
  <si>
    <t>Choose eligible transport source based on availability, route, capacity, approved transporter/rate and policy</t>
  </si>
  <si>
    <t>Manual subjective score; missing transaction lineage; punitive action from opaque model</t>
  </si>
  <si>
    <t>M-D2POD-11</t>
  </si>
  <si>
    <t>Logistics App / Transporter Master</t>
  </si>
  <si>
    <t>Eligible for AI-assisted supplier insight only after transaction lineage is reliable</t>
  </si>
  <si>
    <t>Payload Load Factor</t>
  </si>
  <si>
    <t>Actual loaded weight/volume as a share of practical authorized capacity.</t>
  </si>
  <si>
    <t>Actual load / practical authorized capacity</t>
  </si>
  <si>
    <t>Dataset not yet verified</t>
  </si>
  <si>
    <t>Approved transporter/rate; conflict control; override reason</t>
  </si>
  <si>
    <t>Actual load</t>
  </si>
  <si>
    <t>EV-S2P-23</t>
  </si>
  <si>
    <t>Own-vs-hired transport mix</t>
  </si>
  <si>
    <t>Practical authorized capacity</t>
  </si>
  <si>
    <t>Mode selection, transporter, rate, reason, availability</t>
  </si>
  <si>
    <t>S2P event-log completeness</t>
  </si>
  <si>
    <t>Loading + vehicle master</t>
  </si>
  <si>
    <t>Case-level process-mining/event-log table from demand to payment</t>
  </si>
  <si>
    <t>Supports capacity and transport-cost optimization.</t>
  </si>
  <si>
    <t>Fabric / BI / AESL Data</t>
  </si>
  <si>
    <t>Optimize within legal and safety limits</t>
  </si>
  <si>
    <t>D2POD-011</t>
  </si>
  <si>
    <t>Case ID, activity, event timestamp, actor/type, source system, SBU, process step ID, status/outcome/exception</t>
  </si>
  <si>
    <t>For each eligible case verify required milestone events, order, uniqueness and cross-document joinability</t>
  </si>
  <si>
    <t>Vehicle Eligibility</t>
  </si>
  <si>
    <t>Missing timestamps; unjoinable IDs; duplicate events; retrospective mass status updates</t>
  </si>
  <si>
    <t>Validate candidate vehicle</t>
  </si>
  <si>
    <t>Check capacity, availability, permits, insurance, fitness, route restrictions and document validity</t>
  </si>
  <si>
    <t>Logistics App / Vehicle Master</t>
  </si>
  <si>
    <t>Without this, actual variants, bottlenecks, STP and human-dependency metrics are not management-grade</t>
  </si>
  <si>
    <t>Logistics Planner / Fleet</t>
  </si>
  <si>
    <t>Deterministic eligibility + human selection</t>
  </si>
  <si>
    <t>M-D2POD-12</t>
  </si>
  <si>
    <t>Expired/ineligible vehicle blocked; capacity respected; exception approval</t>
  </si>
  <si>
    <t>Vehicle eligibility pass rate</t>
  </si>
  <si>
    <t>Vehicle master, document expiry, capacity, assignment and override</t>
  </si>
  <si>
    <t>Asset Efficiency</t>
  </si>
  <si>
    <t>Operational utilization of available fleet capacity/time across eligible trips.</t>
  </si>
  <si>
    <t>Productive vehicle time/capacity / available eligible vehicle time/capacity</t>
  </si>
  <si>
    <t>Productive vehicle capacity/time</t>
  </si>
  <si>
    <t>Available eligible capacity/time</t>
  </si>
  <si>
    <t>D2POD-012</t>
  </si>
  <si>
    <t>Vehicle / plant / period</t>
  </si>
  <si>
    <t>Trip + vehicle master</t>
  </si>
  <si>
    <t>Driver Assignment</t>
  </si>
  <si>
    <t>Supports fleet sizing and hired-transport decisions.</t>
  </si>
  <si>
    <t>Assign eligible driver</t>
  </si>
  <si>
    <t>Optimize</t>
  </si>
  <si>
    <t>Check driver availability, license validity, authorization and vehicle compatibility before assignment</t>
  </si>
  <si>
    <t>Logistics App / Driver Master</t>
  </si>
  <si>
    <t>M-D2POD-13</t>
  </si>
  <si>
    <t>Vehicle Eligibility Failure Rate</t>
  </si>
  <si>
    <t>Deterministic eligibility + human assignment</t>
  </si>
  <si>
    <t>Share of candidate vehicles rejected for capacity, document, availability or compliance issues.</t>
  </si>
  <si>
    <t>Valid license/authorization; no double assignment; audit trail</t>
  </si>
  <si>
    <t>Ineligible vehicle checks / vehicle eligibility checks</t>
  </si>
  <si>
    <t>Driver assignment compliance</t>
  </si>
  <si>
    <t>Ineligible checks</t>
  </si>
  <si>
    <t>Driver master, license validity, trip assignment, user/timestamp</t>
  </si>
  <si>
    <t>Eligibility checks</t>
  </si>
  <si>
    <t>Reason / transporter / plant</t>
  </si>
  <si>
    <t>Vehicle master + assignment events</t>
  </si>
  <si>
    <t>Surfaces fleet readiness and master-data/document problems.</t>
  </si>
  <si>
    <t>D2POD-013</t>
  </si>
  <si>
    <t>Reduce preventable failures</t>
  </si>
  <si>
    <t>Loading Advice</t>
  </si>
  <si>
    <t>M-D2POD-14</t>
  </si>
  <si>
    <t>Generate loading instruction</t>
  </si>
  <si>
    <t>Vehicle Assignment Automation Rate</t>
  </si>
  <si>
    <t>Create loading/picking instruction from approved trip and DO quantities for specific source location</t>
  </si>
  <si>
    <t>Logistics App + Business Central Warehouse</t>
  </si>
  <si>
    <t>Share of eligible assignments completed from system recommendations/rules without manual search or off-system coordination.</t>
  </si>
  <si>
    <t>Warehouse / Logistics</t>
  </si>
  <si>
    <t>System generated + human execution</t>
  </si>
  <si>
    <t>Rule/recommendation-based assignments / eligible assignments</t>
  </si>
  <si>
    <t>Rule/recommendation-based assignments</t>
  </si>
  <si>
    <t>Trip/DO reference; no quantity over authorization; valid source bin/location</t>
  </si>
  <si>
    <t>Eligible assignments</t>
  </si>
  <si>
    <t>Trip-plan-to-loading-advice cycle time</t>
  </si>
  <si>
    <t>Loading advice, DO/trip lines, source location, quantities, timestamp</t>
  </si>
  <si>
    <t>Plant / route / vehicle type</t>
  </si>
  <si>
    <t>Logistics Module SDD + Microsoft outbound warehouse flow</t>
  </si>
  <si>
    <t>EV-S2P-24</t>
  </si>
  <si>
    <t>Logistics assignment events</t>
  </si>
  <si>
    <t>Measures movement away from phone/memory-based allocation.</t>
  </si>
  <si>
    <t>Increase where eligibility rules are reliable</t>
  </si>
  <si>
    <t>L5/L6 human-action classification plus sampled task/time study</t>
  </si>
  <si>
    <t>SCM / Finance / Warehouse / QC / AESL Transformation</t>
  </si>
  <si>
    <t>M-D2POD-15</t>
  </si>
  <si>
    <t>Process step, role, manual/system/automated action, active time, wait time, frequency, exception/control classification</t>
  </si>
  <si>
    <t>Own vs Hired Transport Mix</t>
  </si>
  <si>
    <t>Representative 2-4 weeks plus 90-day event history</t>
  </si>
  <si>
    <t>Cost / Capacity</t>
  </si>
  <si>
    <t>Reconcile observed work to logs/SOP and distinguish mandatory control work from avoidable manual handling</t>
  </si>
  <si>
    <t>Distribution of completed trips or delivered tonnage between own fleet and hired transport.</t>
  </si>
  <si>
    <t>Hidden email/Excel/phone work; approvals conflated with waste; no time baseline</t>
  </si>
  <si>
    <t>Own or hired completed trips/tonnage / total completed trips/tonnage</t>
  </si>
  <si>
    <t>Required before Human Dependency or hours-saved claims are credible</t>
  </si>
  <si>
    <t>Own or hired trips/tonnage</t>
  </si>
  <si>
    <t>Total trips/tonnage</t>
  </si>
  <si>
    <t>https://learn.microsoft.com/en-us/power-automate/process-advisor-overview</t>
  </si>
  <si>
    <t>Trip + transporter master</t>
  </si>
  <si>
    <t>Supports capacity strategy and cost comparison.</t>
  </si>
  <si>
    <t>Monitor; target depends on network economics</t>
  </si>
  <si>
    <t>M-D2POD-16</t>
  </si>
  <si>
    <t>Loading Cycle Time</t>
  </si>
  <si>
    <t>Elapsed time from loading readiness/advice to loading completion.</t>
  </si>
  <si>
    <t>Average(loading complete - loading ready/advice)</t>
  </si>
  <si>
    <t>Trip / plant / shift</t>
  </si>
  <si>
    <t>Loading events</t>
  </si>
  <si>
    <t>Identifies warehouse/loading bottlenecks.</t>
  </si>
  <si>
    <t>M-D2POD-17</t>
  </si>
  <si>
    <t>Loading Accuracy</t>
  </si>
  <si>
    <t>Share of load lines where actual loaded quantity matches authorized/advised quantity within approved tolerance.</t>
  </si>
  <si>
    <t>Accurate load lines / completed load lines</t>
  </si>
  <si>
    <t>Accurate load lines</t>
  </si>
  <si>
    <t>Completed load lines</t>
  </si>
  <si>
    <t>D2POD-014</t>
  </si>
  <si>
    <t>Item / trip / plant</t>
  </si>
  <si>
    <t>Warehouse Picking</t>
  </si>
  <si>
    <t>Loading advice + actual load</t>
  </si>
  <si>
    <t>Pick items for shipment</t>
  </si>
  <si>
    <t>Controls dispatch quantity and downstream reconciliation.</t>
  </si>
  <si>
    <t>Create/register inventory or warehouse pick against released outbound source/warehouse shipment and selected bins</t>
  </si>
  <si>
    <t>Business Central Warehouse</t>
  </si>
  <si>
    <t>Warehouse Worker</t>
  </si>
  <si>
    <t>Human execution + system-directed pick</t>
  </si>
  <si>
    <t>M-D2POD-18</t>
  </si>
  <si>
    <t>Loading Discrepancy Rate</t>
  </si>
  <si>
    <t>Pick tied to source; quantity/bin traceability; short-pick handling</t>
  </si>
  <si>
    <t>Pick completion cycle time</t>
  </si>
  <si>
    <t>Pick document, bins, planned/handled qty, worker, timestamps</t>
  </si>
  <si>
    <t>Share of completed load lines/trips requiring quantity, substitution or load variance handling.</t>
  </si>
  <si>
    <t>Microsoft Business Central outbound warehouse flow</t>
  </si>
  <si>
    <t>Loads with discrepancy / completed loads</t>
  </si>
  <si>
    <t>Loads with discrepancy</t>
  </si>
  <si>
    <t>Completed loads</t>
  </si>
  <si>
    <t>D2POD-015</t>
  </si>
  <si>
    <t>Reason / plant / item</t>
  </si>
  <si>
    <t>Loading exception records</t>
  </si>
  <si>
    <t>Shows hidden manual effort and stock/planning failure.</t>
  </si>
  <si>
    <t>Reduce avoidable discrepancies</t>
  </si>
  <si>
    <t>Loading Confirmation</t>
  </si>
  <si>
    <t>EV-S2P-25</t>
  </si>
  <si>
    <t>M-D2POD-19</t>
  </si>
  <si>
    <t>Commercial savings verification</t>
  </si>
  <si>
    <t>Record actual loaded quantity/weight against trip, DO and loading advice before dispatch</t>
  </si>
  <si>
    <t>Weighbridge Reconciliation Accuracy</t>
  </si>
  <si>
    <t>E4-E5</t>
  </si>
  <si>
    <t>Control / Quality</t>
  </si>
  <si>
    <t>Baseline/initial offer, normalized comparable offers, final award and Finance-approved savings methodology</t>
  </si>
  <si>
    <t>Logistics App + BC shipment basis</t>
  </si>
  <si>
    <t>Share of weighed trips where net weight reconciles to authorized/loaded quantity within approved tolerance.</t>
  </si>
  <si>
    <t>SCM / Finance / Transformation Office</t>
  </si>
  <si>
    <t>Warehouse / Loading Team</t>
  </si>
  <si>
    <t>Trips within weight tolerance / weighed trips</t>
  </si>
  <si>
    <t>Comparable specification/volume, baseline price, final normalized price, FX/index adjustments, savings type, approver</t>
  </si>
  <si>
    <t>Weighed trips</t>
  </si>
  <si>
    <t>Per sourcing initiative; monthly/quarterly portfolio roll-up</t>
  </si>
  <si>
    <t>Cannot exceed authorized balance; all differences require reason; user/time audit</t>
  </si>
  <si>
    <t>Trip / vehicle / plant</t>
  </si>
  <si>
    <t>Confirm scope/volume comparability and exclude market movement, specification reduction and unapproved avoidance claims</t>
  </si>
  <si>
    <t>Weighbridge + load records</t>
  </si>
  <si>
    <t>Savings claim without comparable baseline; double counting; FX/volume effects mislabeled as negotiation value</t>
  </si>
  <si>
    <t>Advised vs loaded qty/weight, discrepancy code, user/timestamps</t>
  </si>
  <si>
    <t>Detects load/measurement/control anomalies before dispatch.</t>
  </si>
  <si>
    <t>Only controlled methodology should feed executive realized-value reporting</t>
  </si>
  <si>
    <t>M-D2POD-20</t>
  </si>
  <si>
    <t>D2POD-016</t>
  </si>
  <si>
    <t>Methodology not yet approved</t>
  </si>
  <si>
    <t>Logistics / Warehouse / Sales</t>
  </si>
  <si>
    <t>EV-S2P-26</t>
  </si>
  <si>
    <t>Load Discrepancy Resolution</t>
  </si>
  <si>
    <t>Elapsed time between gate/dispatch readiness and gate-out, or gate-in to gate-out where those events are captured.</t>
  </si>
  <si>
    <t>Resolve shortage/substitution/load variance</t>
  </si>
  <si>
    <t>Average(gate-out - defined gate start event)</t>
  </si>
  <si>
    <t>Record discrepancy, determine whether to adjust trip/DO, seek approval for substitution where applicable and preserve outstanding quantity</t>
  </si>
  <si>
    <t>Business Central for order/inventory effect</t>
  </si>
  <si>
    <t>Approved baseline vs post-change KPI/benefit/control pack</t>
  </si>
  <si>
    <t>Warehouse / Logistics / Sales Approver</t>
  </si>
  <si>
    <t>Business Process Owner / Finance / Transformation Office</t>
  </si>
  <si>
    <t>Gate/weighbridge events</t>
  </si>
  <si>
    <t>Baseline/post periods, normalized volume/mix, cycle time, human hours, STP, exceptions, quality, savings, controls, adoption, assumptions</t>
  </si>
  <si>
    <t>Identifies physical dispatch congestion and control delay.</t>
  </si>
  <si>
    <t>30/60/90 days after go-live; quarterly thereafter</t>
  </si>
  <si>
    <t>Verify same process scope, comparable demand mix, attribution and control effectiveness; Finance sign-off for monetary benefit</t>
  </si>
  <si>
    <t>Reason mandatory; substitution approval; quantity conservation; outstanding balance</t>
  </si>
  <si>
    <t>Loading discrepancy rate</t>
  </si>
  <si>
    <t>Benefit claimed from design/go-live only; no baseline; control deterioration; adoption too low</t>
  </si>
  <si>
    <t>M-D2POD-21</t>
  </si>
  <si>
    <t>Discrepancy case, qty, reason, approval, updated trip/DO</t>
  </si>
  <si>
    <t>Only E5 should be presented as sustained realized Source-to-Pay transformation value</t>
  </si>
  <si>
    <t>Share of scheduled trips dispatched within the approved dispatch window.</t>
  </si>
  <si>
    <t>D2POD-017</t>
  </si>
  <si>
    <t>Weighbridge Control</t>
  </si>
  <si>
    <t>Capture vehicle weight</t>
  </si>
  <si>
    <t>EV-D2POD-01</t>
  </si>
  <si>
    <t>Record gross, tare and net weight where applicable and reconcile against authorized/loaded quantity before gate release</t>
  </si>
  <si>
    <t>Schedule + gate-out/dispatch events</t>
  </si>
  <si>
    <t>Weighbridge + Logistics App</t>
  </si>
  <si>
    <t>Entire D2POD design baseline</t>
  </si>
  <si>
    <t>Separates dispatch execution reliability from delivery performance.</t>
  </si>
  <si>
    <t>Logistics App / Weighbridge Record</t>
  </si>
  <si>
    <t>Weighbridge Operator</t>
  </si>
  <si>
    <t>Approved PRD/SDD/SOP/process maps and business rules</t>
  </si>
  <si>
    <t>Device/system capture + human oversight</t>
  </si>
  <si>
    <t>Logistics / AESL / process owner</t>
  </si>
  <si>
    <t>M-D2POD-22</t>
  </si>
  <si>
    <t>Scope, actors, states, business rules, approvals, exceptions, integrations, target behavior</t>
  </si>
  <si>
    <t>Unique trip/vehicle reference; no retrospective weight edit without audit; tolerance control</t>
  </si>
  <si>
    <t>Weighbridge reconciliation accuracy</t>
  </si>
  <si>
    <t>Map every D2POD L4-L6 step to approved requirement/process evidence</t>
  </si>
  <si>
    <t>Gross/tare/net, trip, vehicle, loaded qty, operator/timestamp</t>
  </si>
  <si>
    <t>Elapsed time from delivery-order readiness to actual dispatch.</t>
  </si>
  <si>
    <t>Draft/conflicting design; missing step; unsigned requirement</t>
  </si>
  <si>
    <t>Average(dispatch timestamp - DO-ready timestamp)</t>
  </si>
  <si>
    <t>Proves intended design only, not live execution</t>
  </si>
  <si>
    <t>D2POD-018</t>
  </si>
  <si>
    <t>DO / plant / SBU</t>
  </si>
  <si>
    <t>BC + Logistics + gate events</t>
  </si>
  <si>
    <t>Shows combined planning, allocation, loading and gate latency.</t>
  </si>
  <si>
    <t>Gate Document Validation</t>
  </si>
  <si>
    <t>Validate dispatch documents</t>
  </si>
  <si>
    <t>Confirm trip, vehicle, driver, loading completion and required delivery/gate documents before exit authorization</t>
  </si>
  <si>
    <t>M-D2POD-23</t>
  </si>
  <si>
    <t>Logistics App / Gate System</t>
  </si>
  <si>
    <t>Trip Tracking Coverage</t>
  </si>
  <si>
    <t>Digital Adoption / Visibility</t>
  </si>
  <si>
    <t>Share of dispatched trips with usable digital in-transit status/location events through completion.</t>
  </si>
  <si>
    <t>Checklist/rules + human control</t>
  </si>
  <si>
    <t>Tracked dispatched trips / dispatched trips</t>
  </si>
  <si>
    <t>Dispatched trips</t>
  </si>
  <si>
    <t>No gate-out with missing mandatory document; exception approval; audit trail</t>
  </si>
  <si>
    <t>Gate control compliance</t>
  </si>
  <si>
    <t>Document checklist, trip/vehicle, validation result, user/timestamp</t>
  </si>
  <si>
    <t>Logistics App + GPS/driver events</t>
  </si>
  <si>
    <t>Measures operational visibility after dispatch.</t>
  </si>
  <si>
    <t>Increase toward 100% for required routes</t>
  </si>
  <si>
    <t>D2POD-019</t>
  </si>
  <si>
    <t>M-D2POD-24</t>
  </si>
  <si>
    <t>ETA Accuracy</t>
  </si>
  <si>
    <t>Predictive Performance</t>
  </si>
  <si>
    <t>Gate-Out / Dispatch</t>
  </si>
  <si>
    <t>Accuracy of the final or checkpoint ETA relative to actual arrival.</t>
  </si>
  <si>
    <t>Dispatch approved trip</t>
  </si>
  <si>
    <t>Average absolute minutes(actual arrival - predicted ETA), plus % within tolerance</t>
  </si>
  <si>
    <t>Record gate-out/dispatch timestamp and transition trip and included deliveries to dispatched/in-transit status</t>
  </si>
  <si>
    <t>Minutes / % within tolerance</t>
  </si>
  <si>
    <t>Gate / Logistics Operator</t>
  </si>
  <si>
    <t>Trip / route / customer</t>
  </si>
  <si>
    <t>Digital status event + human execution</t>
  </si>
  <si>
    <t>ETA events + arrival events</t>
  </si>
  <si>
    <t>Assesses usefulness of route/ETA intelligence and customer communication.</t>
  </si>
  <si>
    <t>Reduce error; target after baseline</t>
  </si>
  <si>
    <t>Only loaded and gate-cleared trip; status sequence integrity; timestamp source controlled</t>
  </si>
  <si>
    <t>Requires reliable tracking data</t>
  </si>
  <si>
    <t>M-D2POD-25</t>
  </si>
  <si>
    <t>Planned dispatch, gate-out, trip status history</t>
  </si>
  <si>
    <t>In-Transit Exception Rate</t>
  </si>
  <si>
    <t>Share of tracked trips experiencing material delay, route deviation, breakdown or other approved in-transit exception.</t>
  </si>
  <si>
    <t>Available; evidence mapping pending</t>
  </si>
  <si>
    <t>Trips with material in-transit exception / tracked trips</t>
  </si>
  <si>
    <t>D2POD-020</t>
  </si>
  <si>
    <t>Exception trips</t>
  </si>
  <si>
    <t>EV-D2POD-02</t>
  </si>
  <si>
    <t>DO readiness / delivery release</t>
  </si>
  <si>
    <t>Exception reason / route / transporter</t>
  </si>
  <si>
    <t>In-Transit Tracking</t>
  </si>
  <si>
    <t>DO/SO configuration plus production release/readiness events</t>
  </si>
  <si>
    <t>Logistics tracking + exception events</t>
  </si>
  <si>
    <t>Track trip progress</t>
  </si>
  <si>
    <t>Sales / Logistics / Business Central</t>
  </si>
  <si>
    <t>Identifies route, fleet, transporter and process reliability issues.</t>
  </si>
  <si>
    <t>Maintain current trip status/location from driver updates or telematics and preserve status/location history</t>
  </si>
  <si>
    <t>SO No., DO No., customer, qty, UOM, status, credit/release flag, ready timestamp</t>
  </si>
  <si>
    <t>Reduce preventable exceptions</t>
  </si>
  <si>
    <t>Logistics App + GPS/Telematics</t>
  </si>
  <si>
    <t>Sample DOs and verify source order, approved quantity, status and release controls</t>
  </si>
  <si>
    <t>Driver / Logistics Control</t>
  </si>
  <si>
    <t>M-D2POD-26</t>
  </si>
  <si>
    <t>Orphan DO; manual release with no record; invalid or over-quantity DO</t>
  </si>
  <si>
    <t>Establishes whether delivery demand enters logistics through a governed digital gate</t>
  </si>
  <si>
    <t>Telematics/digital status + human exception handling</t>
  </si>
  <si>
    <t>Dispatch-to-Arrival Time</t>
  </si>
  <si>
    <t>No silent retrospective status rewrite; device/user source identifiable; privacy/security</t>
  </si>
  <si>
    <t>Elapsed time from actual dispatch/gate-out to customer arrival/check-in.</t>
  </si>
  <si>
    <t>Average(arrival timestamp - dispatch timestamp)</t>
  </si>
  <si>
    <t>Route / customer / SBU</t>
  </si>
  <si>
    <t>Trip tracking coverage</t>
  </si>
  <si>
    <t>Dispatch + arrival events</t>
  </si>
  <si>
    <t>Location/status events, source, timestamps, route</t>
  </si>
  <si>
    <t>Measures physical transit performance independently of loading/gate delay.</t>
  </si>
  <si>
    <t>Reduce/optimize by route class</t>
  </si>
  <si>
    <t>M-D2POD-27</t>
  </si>
  <si>
    <t>EV-D2POD-03</t>
  </si>
  <si>
    <t>D2POD-021</t>
  </si>
  <si>
    <t>Source location allocation</t>
  </si>
  <si>
    <t>Allocation decision/event log</t>
  </si>
  <si>
    <t>Share of eligible deliveries completed on time and in full against the committed requirement.</t>
  </si>
  <si>
    <t>ETA &amp; In-Transit Exception</t>
  </si>
  <si>
    <t>Monitor delay/deviation</t>
  </si>
  <si>
    <t>Deliveries meeting both time and quantity commitment / eligible deliveries</t>
  </si>
  <si>
    <t>DO, item, candidate sources, stock basis, selected source, reason, override, user/time</t>
  </si>
  <si>
    <t>Compare actual progress against planned route/time; flag delay, route deviation, breakdown or other in-transit exception for action</t>
  </si>
  <si>
    <t>30-60 days across plants/depots</t>
  </si>
  <si>
    <t>Reconstruct sample allocation decisions and verify selected source was eligible and inventory-feasible</t>
  </si>
  <si>
    <t>Phone/spreadsheet allocation; no basis; frequent unexplained override</t>
  </si>
  <si>
    <t>Logistics Control / Driver</t>
  </si>
  <si>
    <t>Measures actual transition from planner memory to governed allocation</t>
  </si>
  <si>
    <t>Rules/analytics + human response</t>
  </si>
  <si>
    <t>Commitment + POD/delivery quantity events</t>
  </si>
  <si>
    <t>Primary customer-service outcome for the delivery journey.</t>
  </si>
  <si>
    <t>Alert threshold defined; false-positive monitoring; owner/escalation; no autonomous safety action</t>
  </si>
  <si>
    <t>Increase; numeric target requires management validation</t>
  </si>
  <si>
    <t>ETA accuracy / in-transit exception rate</t>
  </si>
  <si>
    <t>EV-D2POD-04</t>
  </si>
  <si>
    <t>Planned/estimated/actual arrival, exception code, action, timestamps</t>
  </si>
  <si>
    <t>Inventory availability &amp; reservation</t>
  </si>
  <si>
    <t>M-D2POD-28</t>
  </si>
  <si>
    <t>Digital POD Capture Rate</t>
  </si>
  <si>
    <t>Availability snapshots and reservation entries linked to DO/order</t>
  </si>
  <si>
    <t>A2P-001</t>
  </si>
  <si>
    <t>HR / Payroll</t>
  </si>
  <si>
    <t>Workforce Eligibility</t>
  </si>
  <si>
    <t>Item, location, on-hand, committed, reserved, available, reservation qty/time, release reason</t>
  </si>
  <si>
    <t>Deliveries with required digital POD / completed deliveries requiring POD</t>
  </si>
  <si>
    <t>D2POD-022</t>
  </si>
  <si>
    <t>Employee Payroll Population</t>
  </si>
  <si>
    <t>30-90 days; include stockout/cancellation cases</t>
  </si>
  <si>
    <t>Determine in-scope employees</t>
  </si>
  <si>
    <t>Trace sample delivery lines from availability check through reservation/release</t>
  </si>
  <si>
    <t>Completed deliveries requiring POD</t>
  </si>
  <si>
    <t>Negative availability; duplicate allocation; reservation missing or stale</t>
  </si>
  <si>
    <t>Build payroll-eligible population by company, employment status, effective dates and approved exclusions before attendance/payroll processing.</t>
  </si>
  <si>
    <t>Proves inventory readiness and allocation automation</t>
  </si>
  <si>
    <t>Customer Arrival / Check-in</t>
  </si>
  <si>
    <t>HR ISV + Business Central references</t>
  </si>
  <si>
    <t>Record arrival at delivery point</t>
  </si>
  <si>
    <t>Authoritative HR employee source</t>
  </si>
  <si>
    <t>Measures digital evidence coverage and removes paper-POD dependency.</t>
  </si>
  <si>
    <t>HR / Payroll Operations</t>
  </si>
  <si>
    <t>Capture arrival/check-in timestamp and delivery point/customer context before unloading/delivery confirmation</t>
  </si>
  <si>
    <t>Increase toward 100% where required</t>
  </si>
  <si>
    <t>Logistics App / Driver App</t>
  </si>
  <si>
    <t>M-D2POD-29</t>
  </si>
  <si>
    <t>Driver / Recipient</t>
  </si>
  <si>
    <t>POD Completeness Rate</t>
  </si>
  <si>
    <t>Human/mobile capture; candidate geo-validation</t>
  </si>
  <si>
    <t>One authoritative employee population; effective-date integrity; approved exclusion reason</t>
  </si>
  <si>
    <t>Payroll population completeness</t>
  </si>
  <si>
    <t>Share of captured PODs containing all mandatory quantity, recipient, timestamp and evidence fields.</t>
  </si>
  <si>
    <t>Employee status, company, join/exit/effective dates, exclusion reason</t>
  </si>
  <si>
    <t>Correct delivery point; timestamp integrity; location/evidence rules where used</t>
  </si>
  <si>
    <t>Complete POD records / captured POD records</t>
  </si>
  <si>
    <t>HR Module Project Management Annexes</t>
  </si>
  <si>
    <t>Dispatch-to-arrival time</t>
  </si>
  <si>
    <t>Complete POD records</t>
  </si>
  <si>
    <t>Trip, delivery point, arrival timestamp, location/evidence</t>
  </si>
  <si>
    <t>Captured POD records</t>
  </si>
  <si>
    <t>https://docs.google.com/spreadsheets/d/1XfHiOhLTJvGO_VKHyitZ8ijc_og8feRt5wAfyi8PC48/edit</t>
  </si>
  <si>
    <t>Customer / trip / driver</t>
  </si>
  <si>
    <t>POD record validation</t>
  </si>
  <si>
    <t>Distinguishes nominal digital capture from auditable proof.</t>
  </si>
  <si>
    <t>D2POD-023</t>
  </si>
  <si>
    <t>Increase toward 100%</t>
  </si>
  <si>
    <t>M-D2POD-30</t>
  </si>
  <si>
    <t>Digital POD Capture</t>
  </si>
  <si>
    <t>First-Attempt Delivery Success</t>
  </si>
  <si>
    <t>Capture proof of delivery</t>
  </si>
  <si>
    <t>Record delivered quantity/time, recipient identity and required signature/photo/evidence against trip/DO/DN</t>
  </si>
  <si>
    <t>Share of delivery attempts completed successfully without redelivery or recovery action.</t>
  </si>
  <si>
    <t>Deliveries completed on first attempt / eligible delivery cases</t>
  </si>
  <si>
    <t>First-attempt successes</t>
  </si>
  <si>
    <t>Driver / Delivery Recipient</t>
  </si>
  <si>
    <t>Eligible delivery cases</t>
  </si>
  <si>
    <t>Customer / route / reason</t>
  </si>
  <si>
    <t>Delivery/POD + exception events</t>
  </si>
  <si>
    <t>EV-D2POD-05</t>
  </si>
  <si>
    <t>Mandatory POD evidence; recipient traceability; no completion without required fields</t>
  </si>
  <si>
    <t>Delivery scheduling</t>
  </si>
  <si>
    <t>Highlights failed-delivery cost and customer-service friction.</t>
  </si>
  <si>
    <t>Digital POD capture rate</t>
  </si>
  <si>
    <t>DO/DN/trip, delivered qty, recipient, evidence, timestamps</t>
  </si>
  <si>
    <t>Planned dispatch/delivery schedule and revisions</t>
  </si>
  <si>
    <t>M-D2POD-31</t>
  </si>
  <si>
    <t>DO, priority, promise date, planned dispatch/delivery, revision, override reason, planner</t>
  </si>
  <si>
    <t>Compare commitments and priority policy to planned windows and subsequent actuals</t>
  </si>
  <si>
    <t>No digital plan; repeated unrecorded rescheduling; promise not linked</t>
  </si>
  <si>
    <t>D2POD-024</t>
  </si>
  <si>
    <t>Supports planning adherence and separates planning from execution failure</t>
  </si>
  <si>
    <t>Share of delivery attempts with shortage, damage, rejection, failed delivery, partial delivery or other governed exception.</t>
  </si>
  <si>
    <t>Logistics / Sales</t>
  </si>
  <si>
    <t>Delivered Quantity Confirmation</t>
  </si>
  <si>
    <t>EV-D2POD-06</t>
  </si>
  <si>
    <t>Confirm full/partial delivery</t>
  </si>
  <si>
    <t>Trip consolidation</t>
  </si>
  <si>
    <t>Reconcile delivered quantity to DO/DN and maintain undelivered/outstanding balance for partial deliveries</t>
  </si>
  <si>
    <t>Reason / customer / item / route</t>
  </si>
  <si>
    <t>Trip plan and DO membership history</t>
  </si>
  <si>
    <t>Business Central for posted quantity</t>
  </si>
  <si>
    <t>Trip ID, DO IDs, source, load constraints, planned stops, planner, created/approved time</t>
  </si>
  <si>
    <t>Primary indicator of execution failure and hidden manual workload.</t>
  </si>
  <si>
    <t>Driver / Logistics / Sales</t>
  </si>
  <si>
    <t>Verify trip membership is traceable, eligible and quantities do not duplicate across active trips</t>
  </si>
  <si>
    <t>Human confirmation + deterministic balance</t>
  </si>
  <si>
    <t>Spreadsheet-only trip; duplicate DO assignment; untraceable consolidation</t>
  </si>
  <si>
    <t>M-D2POD-32</t>
  </si>
  <si>
    <t>Proves trip planning is digitally governed</t>
  </si>
  <si>
    <t>Exception Resolution Cycle Time</t>
  </si>
  <si>
    <t>A2P-002</t>
  </si>
  <si>
    <t>Delivered quantity cannot exceed shipped/authorized quantity; outstanding balance preserved</t>
  </si>
  <si>
    <t>Process Performance / Exception</t>
  </si>
  <si>
    <t>HR Operations</t>
  </si>
  <si>
    <t>Delivered quantity accuracy</t>
  </si>
  <si>
    <t>EV-D2POD-07</t>
  </si>
  <si>
    <t>Time Planning</t>
  </si>
  <si>
    <t>Elapsed time from delivery exception creation to approved final disposition/closure.</t>
  </si>
  <si>
    <t>Authorized/shipped/delivered/outstanding quantities, POD status</t>
  </si>
  <si>
    <t>Route / stop sequencing</t>
  </si>
  <si>
    <t>Calendar &amp; Holiday Setup</t>
  </si>
  <si>
    <t>Average(exception closure timestamp - exception creation timestamp)</t>
  </si>
  <si>
    <t>Logistics Module SDD + Microsoft partial shipment guidance</t>
  </si>
  <si>
    <t>Maintain work calendar</t>
  </si>
  <si>
    <t>Apply company/SBU calendars, weekly offs and approved holidays to attendance processing.</t>
  </si>
  <si>
    <t>HR ISV</t>
  </si>
  <si>
    <t>Exception / owner / reason</t>
  </si>
  <si>
    <t>Planned route/stop sequence and actual route history</t>
  </si>
  <si>
    <t>Logistics App / GPS</t>
  </si>
  <si>
    <t>Exception workflow + BC adjustment/return</t>
  </si>
  <si>
    <t>Trip, planned stops/order, actual stops/order, route, override reason, time/location events</t>
  </si>
  <si>
    <t>Configured rules</t>
  </si>
  <si>
    <t>30-60 days for tracked trips</t>
  </si>
  <si>
    <t>Shows unresolved customer, inventory and financial exposure.</t>
  </si>
  <si>
    <t>Compare planned versus actual sequence/route and investigate material deviations</t>
  </si>
  <si>
    <t>No actual route evidence; retrospective status only; unexplained deviations</t>
  </si>
  <si>
    <t>Approved calendar version; effective dating; no retrospective change without audit</t>
  </si>
  <si>
    <t>Supports route adherence and future optimization readiness</t>
  </si>
  <si>
    <t>Calendar configuration accuracy</t>
  </si>
  <si>
    <t>M-D2POD-33</t>
  </si>
  <si>
    <t>Calendar, holiday, company/SBU, effective dates, change log</t>
  </si>
  <si>
    <t>Pending tracking evidence</t>
  </si>
  <si>
    <t>Return / Recovery Rate</t>
  </si>
  <si>
    <t>EV-D2POD-08</t>
  </si>
  <si>
    <t>Exception / Cost</t>
  </si>
  <si>
    <t>Payload / capacity planning</t>
  </si>
  <si>
    <t>Share of delivered/attempted quantity or cases requiring physical return, redelivery or recovery workflow.</t>
  </si>
  <si>
    <t>Planned load and vehicle capacity check</t>
  </si>
  <si>
    <t>Logistics / Vehicle Master</t>
  </si>
  <si>
    <t>Return/recovery cases or qty / eligible delivery cases or qty</t>
  </si>
  <si>
    <t>Trip, planned weight/volume/qty, vehicle capacity, constraint checks, override</t>
  </si>
  <si>
    <t>Return/recovery cases or qty</t>
  </si>
  <si>
    <t>A2P-003</t>
  </si>
  <si>
    <t>Eligible cases or qty</t>
  </si>
  <si>
    <t>Recalculate load factor and verify no trip exceeds approved capacity basis</t>
  </si>
  <si>
    <t>Missing capacity master; overload; manual calculation not recorded</t>
  </si>
  <si>
    <t>Supports utilization and safety/control reporting</t>
  </si>
  <si>
    <t>Reason / customer / route / item</t>
  </si>
  <si>
    <t>Shift &amp; Roster Assignment</t>
  </si>
  <si>
    <t>Logistics return + BC inventory records</t>
  </si>
  <si>
    <t>Assign employee roster</t>
  </si>
  <si>
    <t>Quantifies reverse-logistics burden and quality/service failure.</t>
  </si>
  <si>
    <t>EV-D2POD-09</t>
  </si>
  <si>
    <t>Assign shift/roster by employee or approved group with effective dates and approved schedule exceptions.</t>
  </si>
  <si>
    <t>Reduce avoidable cases</t>
  </si>
  <si>
    <t>Vehicle / transporter eligibility</t>
  </si>
  <si>
    <t>Vehicle/transporter master plus assignment eligibility events</t>
  </si>
  <si>
    <t>Fleet / Logistics</t>
  </si>
  <si>
    <t>M-D2POD-34</t>
  </si>
  <si>
    <t>HR Operations / Line Manager</t>
  </si>
  <si>
    <t>Vehicle, transporter, capacity, document expiry, availability, compliance status, assignment, override</t>
  </si>
  <si>
    <t>Shipment Reconciliation Rate</t>
  </si>
  <si>
    <t>Rule-assisted human planning</t>
  </si>
  <si>
    <t>Current master + 30-60 day assignments</t>
  </si>
  <si>
    <t>Sample assignments and prove eligibility at assignment time</t>
  </si>
  <si>
    <t>Expired document; inactive transporter; phone allocation without eligibility check</t>
  </si>
  <si>
    <t>Share of completed dispatches whose authorized, loaded and posted shipment quantities reconcile within approved rules.</t>
  </si>
  <si>
    <t>No overlapping roster; effective dates; manager/HR authorization for change</t>
  </si>
  <si>
    <t>Shows control maturity before assignment automation</t>
  </si>
  <si>
    <t>Reconciled shipments / eligible completed shipments</t>
  </si>
  <si>
    <t>Roster coverage rate</t>
  </si>
  <si>
    <t>Reconciled shipments</t>
  </si>
  <si>
    <t>Employee, shift, roster dates, assignment/change user and approval</t>
  </si>
  <si>
    <t>Pending master and assignment evidence</t>
  </si>
  <si>
    <t>Eligible completed shipments</t>
  </si>
  <si>
    <t>EV-D2POD-10</t>
  </si>
  <si>
    <t>Driver assignment</t>
  </si>
  <si>
    <t>Shipment / item / SBU</t>
  </si>
  <si>
    <t>Driver master and trip assignment log</t>
  </si>
  <si>
    <t>Logistics + BC posted shipment/item ledger</t>
  </si>
  <si>
    <t>Verifies physical-to-ERP inventory integrity.</t>
  </si>
  <si>
    <t>Driver, license/authorization validity, availability, trip, vehicle, assignment time</t>
  </si>
  <si>
    <t>A2P-004</t>
  </si>
  <si>
    <t>Verify assigned driver was eligible and not double-booked at assignment time</t>
  </si>
  <si>
    <t>Invalid license; no digital assignment; overlapping trip assignments</t>
  </si>
  <si>
    <t>Attendance Capture</t>
  </si>
  <si>
    <t>Supports driver compliance and allocation controls</t>
  </si>
  <si>
    <t>M-D2POD-35</t>
  </si>
  <si>
    <t>Clock-In / Clock-Out</t>
  </si>
  <si>
    <t>D2POD Document-Chain Reconciliation Rate</t>
  </si>
  <si>
    <t>Capture raw attendance event</t>
  </si>
  <si>
    <t>EV-D2POD-11</t>
  </si>
  <si>
    <t>Capture employee clock-in/out from biometric/device or approved digital source with employee and timestamp identity.</t>
  </si>
  <si>
    <t>Loading advice / warehouse pick</t>
  </si>
  <si>
    <t>Share of completed delivery chains with consistent DO, trip, loading, DN/POD, shipment, exception/return and invoice references and balances.</t>
  </si>
  <si>
    <t>Biometric / Attendance Device</t>
  </si>
  <si>
    <t>Attendance source + HR ISV after ingestion</t>
  </si>
  <si>
    <t>Loading advice and BC warehouse/inventory pick documents</t>
  </si>
  <si>
    <t>Warehouse / Logistics / Business Central</t>
  </si>
  <si>
    <t>Employee</t>
  </si>
  <si>
    <t>Trip, DO, item, source bin/location, qty to pick/load, pick qty, worker, timestamps</t>
  </si>
  <si>
    <t>Device/digital capture</t>
  </si>
  <si>
    <t>Immutable source timestamp; employee/device identity; duplicate-event handling</t>
  </si>
  <si>
    <t>Attendance digital capture rate</t>
  </si>
  <si>
    <t>30-60 days across active warehouses</t>
  </si>
  <si>
    <t>Employee ID, device, clock event, timestamp, source status</t>
  </si>
  <si>
    <t>Trace source delivery through loading advice/pick and verify quantity/bin/source consistency</t>
  </si>
  <si>
    <t>Paper-only pick; no source linkage; unrecorded short-pick</t>
  </si>
  <si>
    <t>Proves warehouse-to-logistics digital handoff</t>
  </si>
  <si>
    <t>A2P-005</t>
  </si>
  <si>
    <t>HR / Integration</t>
  </si>
  <si>
    <t>Attendance Device Integration</t>
  </si>
  <si>
    <t>Delivery case / SBU</t>
  </si>
  <si>
    <t>Ingest attendance events</t>
  </si>
  <si>
    <t>Core control-tower integrity measure.</t>
  </si>
  <si>
    <t>Transfer attendance events from device/system into HR ISV through approved API/file method with retry and daily control totals.</t>
  </si>
  <si>
    <t>Integration Layer + HR ISV</t>
  </si>
  <si>
    <t>Increase toward 100% with governed exclusions</t>
  </si>
  <si>
    <t>D2POD-025</t>
  </si>
  <si>
    <t>System / HR Operations exception owner</t>
  </si>
  <si>
    <t>M-D2POD-36</t>
  </si>
  <si>
    <t>Trip Cost per Ton / Delivery / Drop</t>
  </si>
  <si>
    <t>Delivery Exception Capture</t>
  </si>
  <si>
    <t>Business Value / Cost</t>
  </si>
  <si>
    <t>Record shortage, damage, rejection or failed delivery</t>
  </si>
  <si>
    <t>Actual approved transport cost normalized by relevant delivery output.</t>
  </si>
  <si>
    <t>Approved trip transport cost / delivered tonnage, deliveries or drops</t>
  </si>
  <si>
    <t>Idempotent ingestion; failed-record queue; daily source-target reconciliation</t>
  </si>
  <si>
    <t>Classify exception, affected quantity/value, responsible owner and immediate disposition while preserving delivery balance</t>
  </si>
  <si>
    <t>Approved trip transport cost</t>
  </si>
  <si>
    <t>Attendance ingestion completeness</t>
  </si>
  <si>
    <t>Delivered tonnage / deliveries / drops</t>
  </si>
  <si>
    <t>Source/target counts, rejected events, retry status, correlation IDs</t>
  </si>
  <si>
    <t>BDT per ton / delivery / drop</t>
  </si>
  <si>
    <t>Route / transporter / plant / SBU</t>
  </si>
  <si>
    <t>Human exception capture</t>
  </si>
  <si>
    <t>Logistics cost + completed delivery data</t>
  </si>
  <si>
    <t>Supports route, transporter and own-vs-hired economics.</t>
  </si>
  <si>
    <t>Optimize by comparable route/service class</t>
  </si>
  <si>
    <t>A2P-006</t>
  </si>
  <si>
    <t>M-D2POD-37</t>
  </si>
  <si>
    <t>Reason mandatory; evidence for material exception; owner/SLA; no hidden adjustment</t>
  </si>
  <si>
    <t>Transport Cost Variance</t>
  </si>
  <si>
    <t>Attendance Processing</t>
  </si>
  <si>
    <t>Cost / Control</t>
  </si>
  <si>
    <t>Exception type, qty/value, evidence, owner, timestamps</t>
  </si>
  <si>
    <t>Variance between actual approved trip cost and standard/approved expected cost for comparable movement.</t>
  </si>
  <si>
    <t>Attendance Classification</t>
  </si>
  <si>
    <t>(Actual approved cost - expected approved cost) / expected approved cost</t>
  </si>
  <si>
    <t>Calculate attendance status</t>
  </si>
  <si>
    <t>Actual minus expected cost</t>
  </si>
  <si>
    <t>Match punches to roster/calendar and calculate present, absent, late, early departure and payable time according to approved policy.</t>
  </si>
  <si>
    <t>Expected approved cost</t>
  </si>
  <si>
    <t>% / BDT</t>
  </si>
  <si>
    <t>Trip / transporter / route</t>
  </si>
  <si>
    <t>D2POD-026</t>
  </si>
  <si>
    <t>Rate master + trip cost</t>
  </si>
  <si>
    <t>System / HR Operations</t>
  </si>
  <si>
    <t>Logistics / Inventory / Finance</t>
  </si>
  <si>
    <t>Identifies unauthorized charges, route inefficiency and rate-model gaps.</t>
  </si>
  <si>
    <t>Deterministic rules</t>
  </si>
  <si>
    <t>Return / Recovery Workflow</t>
  </si>
  <si>
    <t>Return or recover undelivered goods</t>
  </si>
  <si>
    <t>Versioned attendance rules; traceable source events; no silent manual override</t>
  </si>
  <si>
    <t>Route rejected/undelivered/damaged material to return, redelivery, recovery, inspection or adjustment and close the exception</t>
  </si>
  <si>
    <t>Attendance calculation first-pass rate</t>
  </si>
  <si>
    <t>EV-D2POD-12</t>
  </si>
  <si>
    <t>Roster, punches, calculated status, policy/rule version</t>
  </si>
  <si>
    <t>Actual loading execution</t>
  </si>
  <si>
    <t>Logistics / Warehouse / Finance</t>
  </si>
  <si>
    <t>Human exception workflow + deterministic posting</t>
  </si>
  <si>
    <t>Reduce unexplained variance</t>
  </si>
  <si>
    <t>Actual loading events and discrepancy records</t>
  </si>
  <si>
    <t>M-D2POD-38</t>
  </si>
  <si>
    <t>Source delivery reference; quantity conservation; disposition evidence; authorized adjustment</t>
  </si>
  <si>
    <t>A2P-007</t>
  </si>
  <si>
    <t>Transporter Settlement Cycle Time</t>
  </si>
  <si>
    <t>Exception resolution cycle time</t>
  </si>
  <si>
    <t>Process Performance / Finance</t>
  </si>
  <si>
    <t>Trip, DO, item, advised qty, actual loaded qty/weight, reason, user, timestamps</t>
  </si>
  <si>
    <t>Return/recovery record, inventory/financial posting, owner, closure time</t>
  </si>
  <si>
    <t>Elapsed time from completed eligible trip/POD to approved transporter settlement/payment-ready status.</t>
  </si>
  <si>
    <t>Logistics Module SDD + Finance SDD</t>
  </si>
  <si>
    <t>Average(settlement-ready timestamp - eligible trip/POD completion timestamp)</t>
  </si>
  <si>
    <t>Attendance Exception Detection</t>
  </si>
  <si>
    <t>Reconcile loaded quantity to authorized DO/trip and subsequent shipment/POD</t>
  </si>
  <si>
    <t>Detect missing/invalid attendance</t>
  </si>
  <si>
    <t>Paper loading; unexplained variance; loaded qty exceeds authorization</t>
  </si>
  <si>
    <t>D2POD-027</t>
  </si>
  <si>
    <t>Flag missing punches, impossible sequences, unmatched device identities, roster conflicts and policy exceptions for resolution.</t>
  </si>
  <si>
    <t>Inventory / Finance / Logistics</t>
  </si>
  <si>
    <t>Transporter / plant / SBU</t>
  </si>
  <si>
    <t>Logistics + AP workflow</t>
  </si>
  <si>
    <t>Shipment Posting</t>
  </si>
  <si>
    <t>Shows administrative delay and transporter working-capital friction.</t>
  </si>
  <si>
    <t>Post/reconcile shipment in BC</t>
  </si>
  <si>
    <t>HR Operations / Manager</t>
  </si>
  <si>
    <t>Ensure actual dispatched/delivered quantity is reflected in posted sales shipment/item ledger and linked to source sales order</t>
  </si>
  <si>
    <t>Rules + exception queue</t>
  </si>
  <si>
    <t>EV-D2POD-13</t>
  </si>
  <si>
    <t>M-D2POD-39</t>
  </si>
  <si>
    <t>Weighbridge</t>
  </si>
  <si>
    <t>Human Touches per Delivery</t>
  </si>
  <si>
    <t>Defined exception taxonomy; owner and SLA; no payroll use while unresolved if material</t>
  </si>
  <si>
    <t>Attendance exception rate</t>
  </si>
  <si>
    <t>Digital weighbridge events</t>
  </si>
  <si>
    <t>Exception type, employee/date, source events, owner, timestamps</t>
  </si>
  <si>
    <t>Gate / Weighbridge / Logistics</t>
  </si>
  <si>
    <t>Count of distinct human execution, decision, coordination, approval or reconciliation actions from delivery release through POD/closure.</t>
  </si>
  <si>
    <t>Human action events / completed delivery cases</t>
  </si>
  <si>
    <t>Trip, vehicle, gross, tare, net, unit, operator/device, timestamps, tolerance result</t>
  </si>
  <si>
    <t>System / Finance / Inventory</t>
  </si>
  <si>
    <t>Deterministic posting + human exception resolution</t>
  </si>
  <si>
    <t>Completed delivery cases</t>
  </si>
  <si>
    <t>Touches / delivery</t>
  </si>
  <si>
    <t>Match weight to trip/load and inspect variance/edit history</t>
  </si>
  <si>
    <t>A2P-008</t>
  </si>
  <si>
    <t>Delivery / role / step / SBU</t>
  </si>
  <si>
    <t>Paper-only weights; edited measurements; unlinked trip; unexplained variance</t>
  </si>
  <si>
    <t>Employee / HR</t>
  </si>
  <si>
    <t>Source order/shipment traceability; quantity balance; posting controls; duplicate prevention</t>
  </si>
  <si>
    <t>Audit/workflow logs + observed offline actions</t>
  </si>
  <si>
    <t>Attendance Correction</t>
  </si>
  <si>
    <t>Shipment reconciliation rate</t>
  </si>
  <si>
    <t>Proves dispatch quantity control where weight is relevant</t>
  </si>
  <si>
    <t>Quantifies manual dependency and automation potential.</t>
  </si>
  <si>
    <t>Correction Request</t>
  </si>
  <si>
    <t>Posted shipment, item ledger, order line, trip/DO/DN references</t>
  </si>
  <si>
    <t>Reduce avoidable touches; preserve required controls</t>
  </si>
  <si>
    <t>Submit attendance correction</t>
  </si>
  <si>
    <t>Requires event/action classification</t>
  </si>
  <si>
    <t>Employee/authorized user submits correction with date, requested change, reason and supporting evidence where required.</t>
  </si>
  <si>
    <t>M-D2POD-40</t>
  </si>
  <si>
    <t>Pending plant evidence</t>
  </si>
  <si>
    <t>ESS / HR ISV</t>
  </si>
  <si>
    <t>Human Minutes per Delivery</t>
  </si>
  <si>
    <t>EV-D2POD-14</t>
  </si>
  <si>
    <t>Gate validation / gate-out</t>
  </si>
  <si>
    <t>D2POD-028</t>
  </si>
  <si>
    <t>Employee / HR Operations</t>
  </si>
  <si>
    <t>Measured or estimated active human processing time across the delivery-to-POD chain.</t>
  </si>
  <si>
    <t>Finance / Sales / Logistics</t>
  </si>
  <si>
    <t>Digital workflow initiation</t>
  </si>
  <si>
    <t>Sum active human minutes / completed delivery cases</t>
  </si>
  <si>
    <t>Invoice-Ready Handoff</t>
  </si>
  <si>
    <t>Trigger eligible invoice handoff</t>
  </si>
  <si>
    <t>Reason mandatory; original event preserved; requestor cannot self-approve</t>
  </si>
  <si>
    <t>Attendance correction rate</t>
  </si>
  <si>
    <t>Minutes / delivery</t>
  </si>
  <si>
    <t>Expose verified shipment/delivery basis for invoicing and prevent quantity from being invoiced outside approved shipment policy</t>
  </si>
  <si>
    <t>Original/new value, reason, evidence, requester, timestamp</t>
  </si>
  <si>
    <t>Delivery / role / activity</t>
  </si>
  <si>
    <t>Task timestamps + time study + workflow logs</t>
  </si>
  <si>
    <t>Finance / System</t>
  </si>
  <si>
    <t>Deterministic posting eligibility</t>
  </si>
  <si>
    <t>A2P-009</t>
  </si>
  <si>
    <t>Manager / HR</t>
  </si>
  <si>
    <t>Gate checklist and gate-out event</t>
  </si>
  <si>
    <t>Shipment prerequisite per configured sales flow; no duplicate billing; document references</t>
  </si>
  <si>
    <t>M-D2POD-41</t>
  </si>
  <si>
    <t>Correction Approval</t>
  </si>
  <si>
    <t>POD/shipment-to-invoice-ready cycle time</t>
  </si>
  <si>
    <t>Trip, vehicle, driver, loading status, documents, validation result, gate-out time, user</t>
  </si>
  <si>
    <t>Approve/reject correction</t>
  </si>
  <si>
    <t>Shipment, invoice eligibility, invoice/posting reference, timestamps</t>
  </si>
  <si>
    <t>Straight-Through Delivery Rate</t>
  </si>
  <si>
    <t>Microsoft Business Central partial shipment guidance</t>
  </si>
  <si>
    <t>Route correction to authorized manager/HR role; apply approved correction while preserving original data and approval history.</t>
  </si>
  <si>
    <t>Confirm gate-out occurs only after mandatory loading/document controls pass</t>
  </si>
  <si>
    <t>HR ISV Workflow</t>
  </si>
  <si>
    <t>Share of eligible standard deliveries completed from release through POD/ERP reconciliation without unplanned manual exception intervention.</t>
  </si>
  <si>
    <t>Paper register only; missing timestamp; gate-out before loading/document clearance</t>
  </si>
  <si>
    <t>Eligible deliveries completed without unplanned intervention / eligible standard deliveries</t>
  </si>
  <si>
    <t>Measures physical dispatch control digitization</t>
  </si>
  <si>
    <t>Line Manager / HR Approver</t>
  </si>
  <si>
    <t>Straight-through deliveries</t>
  </si>
  <si>
    <t>D2POD-029</t>
  </si>
  <si>
    <t>Workflow + human approval</t>
  </si>
  <si>
    <t>Logistics / Finance</t>
  </si>
  <si>
    <t>Trip Cost &amp; Settlement</t>
  </si>
  <si>
    <t>Eligible standard deliveries</t>
  </si>
  <si>
    <t>Trip Cost Accrual</t>
  </si>
  <si>
    <t>Calculate trip transport cost</t>
  </si>
  <si>
    <t>Delegation control; SoD; approval timestamp; immutable before/after audit</t>
  </si>
  <si>
    <t>Calculate/record own or hired transport cost from approved rate basis, route, payload, toll/approved charges and trip completion</t>
  </si>
  <si>
    <t>Attendance correction cycle time</t>
  </si>
  <si>
    <t>EV-D2POD-15</t>
  </si>
  <si>
    <t>Primary automation outcome for standard logistics cases.</t>
  </si>
  <si>
    <t>Logistics App + Finance</t>
  </si>
  <si>
    <t>In-transit tracking</t>
  </si>
  <si>
    <t>Approved rate master / Business Central</t>
  </si>
  <si>
    <t>Increase where risk and physical controls permit</t>
  </si>
  <si>
    <t>Request, approver, decision, timestamps, before/after values</t>
  </si>
  <si>
    <t>M-D2POD-42</t>
  </si>
  <si>
    <t>Trip status/location history from app/GPS/telematics</t>
  </si>
  <si>
    <t>Logistics Process Digital Adoption</t>
  </si>
  <si>
    <t>Logistics Control</t>
  </si>
  <si>
    <t>Share of eligible delivery cases executed through the approved digital process without spreadsheet, paper or phone-only bypass for governed process steps.</t>
  </si>
  <si>
    <t>Approved rate basis; supported additional charges; trip reference; no duplicate accrual</t>
  </si>
  <si>
    <t>Approved digital cases / eligible delivery cases</t>
  </si>
  <si>
    <t>Trip, event type, location, source device/user, timestamp, route/ETA where available</t>
  </si>
  <si>
    <t>A2P-010</t>
  </si>
  <si>
    <t>30-60 days of dispatched trips</t>
  </si>
  <si>
    <t>Test coverage, event sequence and credibility; identify retrospective manual-only updates</t>
  </si>
  <si>
    <t>Leave Integration</t>
  </si>
  <si>
    <t>No track between dispatch/POD; stale/reconstructed events; unjoinable IDs</t>
  </si>
  <si>
    <t>Approved Leave Application</t>
  </si>
  <si>
    <t>Supports visibility, ETA and process-mining readiness</t>
  </si>
  <si>
    <t>Apply approved leave to attendance</t>
  </si>
  <si>
    <t>Process / plant / SBU</t>
  </si>
  <si>
    <t>Trip cost per ton / drop</t>
  </si>
  <si>
    <t>System logs + manual bypass register</t>
  </si>
  <si>
    <t>Trip, transporter, rate, distance, load, approved charges, calculated cost</t>
  </si>
  <si>
    <t>Separates system availability from actual operational adoption.</t>
  </si>
  <si>
    <t>Increase toward 100% for mandatory digital steps</t>
  </si>
  <si>
    <t>EV-D2POD-16</t>
  </si>
  <si>
    <t>Apply approved leave dates/types to attendance and payable-time calculation without duplicate manual entry.</t>
  </si>
  <si>
    <t>ETA / in-transit exception</t>
  </si>
  <si>
    <t>M-D2POD-43</t>
  </si>
  <si>
    <t>HR ISV Leave + Attendance</t>
  </si>
  <si>
    <t>D2POD-030</t>
  </si>
  <si>
    <t>ETA predictions, alerts and exception action history</t>
  </si>
  <si>
    <t>Composite index of manual data entry, planning, coordination, approval, exception handling and reconciliation in the D2POD process.</t>
  </si>
  <si>
    <t>Logistics Control / Analytics</t>
  </si>
  <si>
    <t>Transporter Settlement</t>
  </si>
  <si>
    <t>Composite methodology calibrated from L5/L6 human-action evidence; weights require approval</t>
  </si>
  <si>
    <t>Trip, ETA timestamp/value, actual arrival, alert, reason, owner, response, closure</t>
  </si>
  <si>
    <t>Validate and settle transporter payable</t>
  </si>
  <si>
    <t>30-60 days; include exception/no-exception cases</t>
  </si>
  <si>
    <t>Match completed trip/POD and approved transport rate/charges to transporter bill and route exception for review before payment</t>
  </si>
  <si>
    <t>Logistics App + Business Central AP</t>
  </si>
  <si>
    <t>Compare predicted ETA to actual; verify material exceptions have owners/actions</t>
  </si>
  <si>
    <t>Only approved leave; balance integrity; no overlap with incompatible statuses</t>
  </si>
  <si>
    <t>No alert history; no owner; ETA not timestamped; excessive false alerts</t>
  </si>
  <si>
    <t>Logistics / AP / Finance Approver</t>
  </si>
  <si>
    <t>Leave-to-attendance sync rate</t>
  </si>
  <si>
    <t>Audit logs + time study + process classification</t>
  </si>
  <si>
    <t>Rules + human exception/approval</t>
  </si>
  <si>
    <t>Determines whether predictive monitoring is operationally useful</t>
  </si>
  <si>
    <t>Leave request/approval, leave dates, attendance outcome, balance</t>
  </si>
  <si>
    <t>Reduce toward appropriate target, not zero</t>
  </si>
  <si>
    <t>Completed trip/POD required; approved rate; duplicate invoice check; SoD</t>
  </si>
  <si>
    <t>Pending operational evidence</t>
  </si>
  <si>
    <t>Transporter settlement cycle time</t>
  </si>
  <si>
    <t>M-D2POD-44</t>
  </si>
  <si>
    <t>Trip/POD, rate, bill, variance, approval, payment reference</t>
  </si>
  <si>
    <t>EV-D2POD-17</t>
  </si>
  <si>
    <t>A2P-011</t>
  </si>
  <si>
    <t>Customer arrival / check-in</t>
  </si>
  <si>
    <t>HR Operations / Payroll</t>
  </si>
  <si>
    <t>Verified reduction in human processing effort attributable to an implemented logistics transformation.</t>
  </si>
  <si>
    <t>Payable Time</t>
  </si>
  <si>
    <t>(Baseline human minutes/case - post-change human minutes/case) x actual case volume / 60</t>
  </si>
  <si>
    <t>Arrival/check-in event at delivery point</t>
  </si>
  <si>
    <t>Overtime Calculation</t>
  </si>
  <si>
    <t>Driver App / Logistics</t>
  </si>
  <si>
    <t>Calculate eligible overtime</t>
  </si>
  <si>
    <t>Trip, customer/delivery point, arrival time, location/source, driver/device</t>
  </si>
  <si>
    <t>Calculate overtime from approved attendance/roster and policy rules before approval or payroll inclusion.</t>
  </si>
  <si>
    <t>30-90 days</t>
  </si>
  <si>
    <t>Compare arrival to route/commitment and confirm event precedes POD completion</t>
  </si>
  <si>
    <t>Baseline + post-change time/event evidence</t>
  </si>
  <si>
    <t>Arrival inferred manually after delivery; wrong point; missing timestamp</t>
  </si>
  <si>
    <t>Converts automation into realized productivity outcome.</t>
  </si>
  <si>
    <t>Recognize only with comparable baseline/post-change evidence</t>
  </si>
  <si>
    <t>Establishes physical arrival event for transit and service metrics</t>
  </si>
  <si>
    <t>Approved policy/rate basis; capped/eligibility rules; traceable hours</t>
  </si>
  <si>
    <t>M-D2POD-45</t>
  </si>
  <si>
    <t>Overtime calculation exception rate</t>
  </si>
  <si>
    <t>Realized Transport Cost Saving</t>
  </si>
  <si>
    <t>Attendance hours, eligible OT hours, rule/rate basis, exceptions</t>
  </si>
  <si>
    <t>Pending mobile evidence</t>
  </si>
  <si>
    <t>Verified transport cost reduction attributable to the transformation after normalizing for volume, route mix and service level.</t>
  </si>
  <si>
    <t>EV-D2POD-18</t>
  </si>
  <si>
    <t>Normalized baseline transport cost - normalized post-change transport cost</t>
  </si>
  <si>
    <t>Normalized baseline cost minus post-change cost</t>
  </si>
  <si>
    <t>Digital POD record and supporting evidence</t>
  </si>
  <si>
    <t>BDT / period</t>
  </si>
  <si>
    <t>A2P-012</t>
  </si>
  <si>
    <t>Initiative / route / SBU</t>
  </si>
  <si>
    <t>Manager / HR / Payroll</t>
  </si>
  <si>
    <t>Trip/DO/DN, customer, delivered qty, recipient, signature/photo/evidence, timestamp, exception flag</t>
  </si>
  <si>
    <t>Approved cost data + baseline/post-change delivery mix</t>
  </si>
  <si>
    <t>Overtime Approval</t>
  </si>
  <si>
    <t>Tracks actual financial value rather than projected savings.</t>
  </si>
  <si>
    <t>30-90 days; sample all delivery outcomes</t>
  </si>
  <si>
    <t>Approve eligible overtime</t>
  </si>
  <si>
    <t>Positive only when Finance/process owner verifies attribution</t>
  </si>
  <si>
    <t>Approve/reject calculated overtime before payroll inclusion using authorized hierarchy and delegation.</t>
  </si>
  <si>
    <t>Verify POD completeness, quantity consistency and recipient/evidence requirements</t>
  </si>
  <si>
    <t>Paper-only POD; missing recipient/evidence; inconsistent quantity</t>
  </si>
  <si>
    <t>Primary evidence that customer delivery is digitally confirmed</t>
  </si>
  <si>
    <t>Manager / HR Approver</t>
  </si>
  <si>
    <t>D2POD-031</t>
  </si>
  <si>
    <t>Sales / Logistics / Inventory / Finance</t>
  </si>
  <si>
    <t>Maker-checker; approval cutoff; no self-approval; audit history</t>
  </si>
  <si>
    <t>Delivery Document Chain</t>
  </si>
  <si>
    <t>Overtime approval cycle time</t>
  </si>
  <si>
    <t>EV-D2POD-19</t>
  </si>
  <si>
    <t>Reconcile DO, trip, load, DN/POD, shipment, return and invoice</t>
  </si>
  <si>
    <t>Calculated hours, approval decision, approver, timestamps</t>
  </si>
  <si>
    <t>Delivered quantity / partial delivery</t>
  </si>
  <si>
    <t>Test referential completeness, quantity/value conservation and status consistency across delivery systems and Business Central</t>
  </si>
  <si>
    <t>Business Central + Logistics App + Sales Eco</t>
  </si>
  <si>
    <t>Authorized, shipped, delivered and outstanding quantity chain</t>
  </si>
  <si>
    <t>Business Central financial/inventory truth</t>
  </si>
  <si>
    <t>Business Central + Logistics</t>
  </si>
  <si>
    <t>Finance / Product Operations</t>
  </si>
  <si>
    <t>SO/DO/DN/shipment/POD references, quantities, outstanding balance, status</t>
  </si>
  <si>
    <t>A2P-013</t>
  </si>
  <si>
    <t>90 days; include partial deliveries</t>
  </si>
  <si>
    <t>Stable cross-document keys; orphan/imbalance queue; accountable exception owner</t>
  </si>
  <si>
    <t>Attendance Close</t>
  </si>
  <si>
    <t>Verify quantity conservation and correct outstanding balance after partial delivery</t>
  </si>
  <si>
    <t>D2POD document-chain reconciliation rate</t>
  </si>
  <si>
    <t>Attendance Period Validation</t>
  </si>
  <si>
    <t>Cross-reference dataset with quantities, amounts, statuses, timestamps</t>
  </si>
  <si>
    <t>Delivered &gt; authorized; orphan balance; manually maintained outstanding quantity</t>
  </si>
  <si>
    <t>Validate attendance completeness</t>
  </si>
  <si>
    <t>Foundation for partial-delivery and customer-commitment control</t>
  </si>
  <si>
    <t>Confirm all material attendance, leave, overtime and corrections are resolved for the payroll period.</t>
  </si>
  <si>
    <t>D2POD-032</t>
  </si>
  <si>
    <t>D2POD Process Monitoring</t>
  </si>
  <si>
    <t>Monitor delivery-to-POD performance</t>
  </si>
  <si>
    <t>Track cycle time, human touches, STP, utilization, loading/gate delay, OTIF, POD, exceptions, cost, adoption and realized benefit</t>
  </si>
  <si>
    <t>Zero unresolved critical exceptions; documented accepted exceptions; control totals</t>
  </si>
  <si>
    <t>Fabric / Power BI / Process Mining</t>
  </si>
  <si>
    <t>Attendance close exception count</t>
  </si>
  <si>
    <t>Period status, unresolved exceptions, employee counts, control totals</t>
  </si>
  <si>
    <t>Case IDs; event timestamps; common process IDs; KPI lineage; production evidence</t>
  </si>
  <si>
    <t>D2POD end-to-end cycle time</t>
  </si>
  <si>
    <t>Cross-system event log from delivery release through POD/settlement</t>
  </si>
  <si>
    <t>A2P-014</t>
  </si>
  <si>
    <t>Microsoft Power Automate Process Mining</t>
  </si>
  <si>
    <t>Attendance Period Lock</t>
  </si>
  <si>
    <t>Close attendance for payroll</t>
  </si>
  <si>
    <t>Lock approved attendance period against uncontrolled changes and expose certified payable-time inputs to payroll.</t>
  </si>
  <si>
    <t>HR Operations Approver</t>
  </si>
  <si>
    <t>System lock + human authorization</t>
  </si>
  <si>
    <t>Authorized close/reopen; reason required; post-close changes trigger payroll impact review</t>
  </si>
  <si>
    <t>Attendance close timeliness</t>
  </si>
  <si>
    <t>Close timestamp, approver, control totals, reopen history</t>
  </si>
  <si>
    <t>A2P-015</t>
  </si>
  <si>
    <t>Payroll Preparation</t>
  </si>
  <si>
    <t>Payroll Period Control</t>
  </si>
  <si>
    <t>Open payroll period and cut-off</t>
  </si>
  <si>
    <t>Establish payroll period, cutoff dates, processing calendar and authorized processing status for the company/SBU.</t>
  </si>
  <si>
    <t>HR ISV Payroll</t>
  </si>
  <si>
    <t>Payroll Team</t>
  </si>
  <si>
    <t>Configured control + human authorization</t>
  </si>
  <si>
    <t>Unique period; approved cutoff; controlled open/close/reopen</t>
  </si>
  <si>
    <t>Payroll calendar adherence</t>
  </si>
  <si>
    <t>Payroll period, cutoffs, status, user/timestamps</t>
  </si>
  <si>
    <t>A2P-016</t>
  </si>
  <si>
    <t>EV-D2POD-20</t>
  </si>
  <si>
    <t>Payroll / HR</t>
  </si>
  <si>
    <t>Delivery exceptions</t>
  </si>
  <si>
    <t>Employee Payroll Master</t>
  </si>
  <si>
    <t>Shortage/damage/rejection/failed-delivery exception records</t>
  </si>
  <si>
    <t>Validate payroll master completeness</t>
  </si>
  <si>
    <t>Validate employee pay group, grade/designation where relevant, bank, salary structure, dimensions and mandatory payroll attributes.</t>
  </si>
  <si>
    <t>Reason, quantity/value, evidence, owner, SLA, action, timestamps</t>
  </si>
  <si>
    <t>90 days; all material and sampled standard exceptions</t>
  </si>
  <si>
    <t>Trace exception from creation through ownership and disposition</t>
  </si>
  <si>
    <t>Payroll / HR Master Data</t>
  </si>
  <si>
    <t>Unrecorded exception; no owner; free-text only; hidden manual adjustment</t>
  </si>
  <si>
    <t>Measures hidden manual work and service/control leakage</t>
  </si>
  <si>
    <t>Mandatory-field completeness; approved effective-dated changes; restricted bank/pay fields</t>
  </si>
  <si>
    <t>Payroll master completeness</t>
  </si>
  <si>
    <t>Employee pay master, bank, dimensions, missing/invalid field list</t>
  </si>
  <si>
    <t>EV-D2POD-21</t>
  </si>
  <si>
    <t>A2P-017</t>
  </si>
  <si>
    <t>Return / recovery</t>
  </si>
  <si>
    <t>Effective-Dated Employee Changes</t>
  </si>
  <si>
    <t>Apply payroll-impacting lifecycle changes</t>
  </si>
  <si>
    <t>Return, redelivery, recovery, inspection and adjustment records</t>
  </si>
  <si>
    <t>Apply approved join, transfer, promotion, increment, confirmation, resignation and termination changes effective within payroll rules.</t>
  </si>
  <si>
    <t>Source delivery, returned/recovered qty, disposition, inventory posting, financial adjustment, closure</t>
  </si>
  <si>
    <t>Authoritative HR source</t>
  </si>
  <si>
    <t>Workflow + deterministic effective dating</t>
  </si>
  <si>
    <t>Reconcile disposition quantity to original exception and resulting inventory/financial entries</t>
  </si>
  <si>
    <t>Manual stock/financial correction; no source case; unresolved balance</t>
  </si>
  <si>
    <t>Approved change; effective date; no retroactive overwrite; payroll impact trace</t>
  </si>
  <si>
    <t>Closes reverse-logistics and financial exposure</t>
  </si>
  <si>
    <t>Effective-date payroll accuracy</t>
  </si>
  <si>
    <t>Lifecycle event, approval, effective date, payroll impact</t>
  </si>
  <si>
    <t>EV-D2POD-22</t>
  </si>
  <si>
    <t>BC posted shipment / item ledger</t>
  </si>
  <si>
    <t>A2P-018</t>
  </si>
  <si>
    <t>Posted sales shipment and related item/warehouse ledger entries</t>
  </si>
  <si>
    <t>Payroll Inputs</t>
  </si>
  <si>
    <t>Business Central / Inventory / Finance</t>
  </si>
  <si>
    <t>Variable Earnings &amp; Deductions</t>
  </si>
  <si>
    <t>Collect approved variable inputs</t>
  </si>
  <si>
    <t>Shipment, source sales order, item, qty, location, posting date/time, ledger entries, external delivery refs</t>
  </si>
  <si>
    <t>Capture/import approved bonus, incentive, allowance, deduction and other variable payroll inputs with source and period.</t>
  </si>
  <si>
    <t>HR ISV / Approved Integration</t>
  </si>
  <si>
    <t>Trace physical dispatch/load to BC shipment and verify quantity/location consistency</t>
  </si>
  <si>
    <t>Posting without delivery trace; duplicate shipment; physical/ERP quantity mismatch</t>
  </si>
  <si>
    <t>Payroll Team / Source Owner</t>
  </si>
  <si>
    <t>Proves physical-to-system inventory integrity</t>
  </si>
  <si>
    <t>Digital input + workflow/import controls</t>
  </si>
  <si>
    <t>Source/approval mandatory; duplicate prevention; cutoff; amount/value validation</t>
  </si>
  <si>
    <t>Variable input digital adoption</t>
  </si>
  <si>
    <t>EV-D2POD-23</t>
  </si>
  <si>
    <t>Employee, component, amount, source, approval, period, timestamp</t>
  </si>
  <si>
    <t>Invoice handoff / shipment reference</t>
  </si>
  <si>
    <t>Invoice eligibility and posted invoice linkage to shipment/delivery</t>
  </si>
  <si>
    <t>Shipment/DN/POD reference, invoice no., qty/value, posting time, status</t>
  </si>
  <si>
    <t>A2P-019</t>
  </si>
  <si>
    <t>Payroll / Finance</t>
  </si>
  <si>
    <t>Verify invoice basis follows configured shipment policy and does not exceed shipped quantity</t>
  </si>
  <si>
    <t>Invoice without eligible shipment/reference; duplicate or excess invoicing</t>
  </si>
  <si>
    <t>Loan / Advance Deductions</t>
  </si>
  <si>
    <t>Links delivery execution to revenue/AR timing</t>
  </si>
  <si>
    <t>Apply scheduled deductions</t>
  </si>
  <si>
    <t>Calculate current-period loan/advance deductions from approved outstanding balance and schedule.</t>
  </si>
  <si>
    <t>HR ISV payroll/loan ledger</t>
  </si>
  <si>
    <t>Payroll / Finance reviewer</t>
  </si>
  <si>
    <t>EV-D2POD-24</t>
  </si>
  <si>
    <t>Deterministic rules + exception review</t>
  </si>
  <si>
    <t>Trip cost / transporter settlement</t>
  </si>
  <si>
    <t>Opening/outstanding balance reconciliation; approved schedule; no duplicate deduction</t>
  </si>
  <si>
    <t>Trip cost calculation, rate master, transporter bill, approval and settlement reference</t>
  </si>
  <si>
    <t>Logistics / Finance / AP</t>
  </si>
  <si>
    <t>Loan deduction reconciliation</t>
  </si>
  <si>
    <t>Trip, transporter, rate, load/route basis, approved extras, bill, variance, approver, payment-ready date</t>
  </si>
  <si>
    <t>Opening balance, deduction schedule, current deduction, closing balance</t>
  </si>
  <si>
    <t>60-90 days across major routes/transporters</t>
  </si>
  <si>
    <t>Recalculate sample trip costs and trace to approved rate/POD and payable</t>
  </si>
  <si>
    <t>Spreadsheet cost; unapproved extra charge; duplicate bill; no trip/POD link</t>
  </si>
  <si>
    <t>Supports transport cost, variance and settlement metrics</t>
  </si>
  <si>
    <t>A2P-020</t>
  </si>
  <si>
    <t>Arrears &amp; Retro</t>
  </si>
  <si>
    <t>Calculate approved retro adjustment</t>
  </si>
  <si>
    <t>Calculate arrears/retro from approved prior-period effective changes while retaining source period and adjustment basis.</t>
  </si>
  <si>
    <t>Approved source change; prior/current period traceability; no double payment/deduction</t>
  </si>
  <si>
    <t>Retro adjustment exception rate</t>
  </si>
  <si>
    <t>Pending finance/logistics evidence</t>
  </si>
  <si>
    <t>Source change, effective date, affected periods, calculation details</t>
  </si>
  <si>
    <t>M-A2P-01</t>
  </si>
  <si>
    <t>EV-D2POD-25</t>
  </si>
  <si>
    <t>Attendance-to-Payroll End-to-End Cycle Time</t>
  </si>
  <si>
    <t>Elapsed time from attendance-period readiness/start of close through completed salary payment and payroll-to-GL reconciliation.</t>
  </si>
  <si>
    <t>Average(final reconciliation/payment completion - attendance close-start/period-ready timestamp)</t>
  </si>
  <si>
    <t>DO/trip/load/DN/POD/shipment/return/invoice reconciliation dataset</t>
  </si>
  <si>
    <t>A2P-021</t>
  </si>
  <si>
    <t>AESL Data / Finance / Process Owner</t>
  </si>
  <si>
    <t>Payroll period / company / SBU</t>
  </si>
  <si>
    <t>Payroll Rules</t>
  </si>
  <si>
    <t>Stable parent-child keys, quantities, values, statuses, timestamps, SBU/customer/item</t>
  </si>
  <si>
    <t>HR ISV + bank + Business Central events</t>
  </si>
  <si>
    <t>Statutory &amp; Policy Parameters</t>
  </si>
  <si>
    <t>Primary end-to-end payroll processing latency measure.</t>
  </si>
  <si>
    <t>Maintain approved payroll parameters</t>
  </si>
  <si>
    <t>Reduce vs verified baseline without weakening controls</t>
  </si>
  <si>
    <t>Test referential completeness, duplicates and quantity/value conservation</t>
  </si>
  <si>
    <t>Maintain approved tax, provident fund, gratuity and other payroll/statutory parameters with effective dates and controlled change.</t>
  </si>
  <si>
    <t>Orphan references; unexplained imbalances; duplicate chain; inconsistent status</t>
  </si>
  <si>
    <t>M-A2P-02</t>
  </si>
  <si>
    <t>Core D2POD control-tower integrity evidence</t>
  </si>
  <si>
    <t>Payroll Population Completeness</t>
  </si>
  <si>
    <t>Payroll Owner / Authorized Admin</t>
  </si>
  <si>
    <t>Data Quality / Control</t>
  </si>
  <si>
    <t>Configured rules + controlled maintenance</t>
  </si>
  <si>
    <t>Share of expected payroll-eligible employees correctly included or explicitly excluded with approved reason.</t>
  </si>
  <si>
    <t>Correctly included + approved excluded employees / expected payroll population</t>
  </si>
  <si>
    <t>Correctly accounted employees</t>
  </si>
  <si>
    <t>EV-D2POD-26</t>
  </si>
  <si>
    <t>Expected payroll population</t>
  </si>
  <si>
    <t>Authorized parameter change; effective dating; independent review; version history</t>
  </si>
  <si>
    <t>D2POD event-log completeness</t>
  </si>
  <si>
    <t>Payroll rule change accuracy</t>
  </si>
  <si>
    <t>Company / SBU / period</t>
  </si>
  <si>
    <t>Parameter version, effective date, approver, test evidence</t>
  </si>
  <si>
    <t>HR employee master + payroll run population</t>
  </si>
  <si>
    <t>Prevents omitted or unauthorized payroll records.</t>
  </si>
  <si>
    <t>Case ID, process step ID, activity, event timestamp, actor/type, source system, SBU, outcome/exception</t>
  </si>
  <si>
    <t>A2P-022</t>
  </si>
  <si>
    <t>Verify required milestone events exist, timestamps are credible and IDs join across systems</t>
  </si>
  <si>
    <t>M-A2P-03</t>
  </si>
  <si>
    <t>Payroll Calculation</t>
  </si>
  <si>
    <t>Missing activity/time/case ID; duplicate events; unjoinable delivery chain</t>
  </si>
  <si>
    <t>Roster Coverage Rate</t>
  </si>
  <si>
    <t>Gross-to-Net Calculation</t>
  </si>
  <si>
    <t>Without this, cycle time, variants, STP and human-dependency metrics are not management-grade</t>
  </si>
  <si>
    <t>Planning / Data Quality</t>
  </si>
  <si>
    <t>Run payroll calculation</t>
  </si>
  <si>
    <t>Share of roster-required employees with a valid work schedule for all required days before attendance processing.</t>
  </si>
  <si>
    <t>Calculate earnings, deductions, overtime, leave/attendance impacts, arrears and net pay for the eligible population.</t>
  </si>
  <si>
    <t>Employees/days with valid roster / roster-required employee-days</t>
  </si>
  <si>
    <t>HR ISV payroll result</t>
  </si>
  <si>
    <t>Covered employee-days</t>
  </si>
  <si>
    <t>Roster-required employee-days</t>
  </si>
  <si>
    <t>Deterministic payroll engine</t>
  </si>
  <si>
    <t>SBU / department / period</t>
  </si>
  <si>
    <t>HR ISV roster</t>
  </si>
  <si>
    <t>Versioned configuration; complete input population; repeatable recalculation; result trace</t>
  </si>
  <si>
    <t>Shows whether attendance exceptions originate from planning gaps.</t>
  </si>
  <si>
    <t>First-pass payroll accuracy</t>
  </si>
  <si>
    <t>Increase toward 100% where roster is mandatory</t>
  </si>
  <si>
    <t>Employee/component result, gross/net, source inputs, rule version, run ID</t>
  </si>
  <si>
    <t>M-A2P-04</t>
  </si>
  <si>
    <t>Attendance Digital Capture Rate</t>
  </si>
  <si>
    <t>Share of required attendance events captured through approved biometric/digital channels rather than manual entry.</t>
  </si>
  <si>
    <t>Approved digital attendance events / required attendance events</t>
  </si>
  <si>
    <t>A2P-023</t>
  </si>
  <si>
    <t>Digital attendance events</t>
  </si>
  <si>
    <t>Required attendance events</t>
  </si>
  <si>
    <t>Payroll Validation</t>
  </si>
  <si>
    <t>Device / site / SBU / employee type</t>
  </si>
  <si>
    <t>Payroll Exception Detection</t>
  </si>
  <si>
    <t>Attendance devices + HR ISV</t>
  </si>
  <si>
    <t>Validate calculated payroll</t>
  </si>
  <si>
    <t>Detects paper/spreadsheet/manual attendance dependency.</t>
  </si>
  <si>
    <t>Increase toward 100% where digital capture is required</t>
  </si>
  <si>
    <t>Flag missing inputs, unusual variance, zero/negative net pay, invalid bank/dimension data and other approved exception rules before approval.</t>
  </si>
  <si>
    <t>HR ISV / Analytics</t>
  </si>
  <si>
    <t>M-A2P-05</t>
  </si>
  <si>
    <t>Attendance Ingestion Completeness</t>
  </si>
  <si>
    <t>Payroll Reviewer</t>
  </si>
  <si>
    <t>Integration / Data Quality</t>
  </si>
  <si>
    <t>Rules/analytics + human review</t>
  </si>
  <si>
    <t>Share of source device attendance events successfully ingested once into HR ISV within the defined service window.</t>
  </si>
  <si>
    <t>Successfully reconciled ingested events / source events</t>
  </si>
  <si>
    <t>Reconciled ingested events</t>
  </si>
  <si>
    <t>Defined materiality/tolerance; explainable alerts; owner/SLA; no autonomous pay change</t>
  </si>
  <si>
    <t>Source events</t>
  </si>
  <si>
    <t>Payroll exception rate</t>
  </si>
  <si>
    <t>Device / site / day</t>
  </si>
  <si>
    <t>Exception type, employee, variance, threshold, owner, resolution</t>
  </si>
  <si>
    <t>Device interface + HR ISV</t>
  </si>
  <si>
    <t>Tests attendance integration reliability.</t>
  </si>
  <si>
    <t>M-A2P-06</t>
  </si>
  <si>
    <t>A2P-024</t>
  </si>
  <si>
    <t>Attendance Calculation First-Pass Rate</t>
  </si>
  <si>
    <t>Process Quality</t>
  </si>
  <si>
    <t>Share of employee-days calculated correctly from roster, leave and punch data without manual correction.</t>
  </si>
  <si>
    <t>Payroll Variance Review</t>
  </si>
  <si>
    <t>Employee-days requiring no correction / processed employee-days</t>
  </si>
  <si>
    <t>Review material period variance</t>
  </si>
  <si>
    <t>First-pass employee-days</t>
  </si>
  <si>
    <t>Compare current payroll to prior/expected values and resolve material changes at employee, component, department and company level.</t>
  </si>
  <si>
    <t>Processed employee-days</t>
  </si>
  <si>
    <t>HR ISV / BI</t>
  </si>
  <si>
    <t>SBU / department / rule / period</t>
  </si>
  <si>
    <t>Payroll Reviewer / HR</t>
  </si>
  <si>
    <t>HR ISV attendance calculation</t>
  </si>
  <si>
    <t>Shows stability of attendance rules and upstream data.</t>
  </si>
  <si>
    <t>Analytics + human judgment</t>
  </si>
  <si>
    <t>M-A2P-07</t>
  </si>
  <si>
    <t>Approved thresholds; documented reason for material variance; evidence retained</t>
  </si>
  <si>
    <t>Attendance Exception Rate</t>
  </si>
  <si>
    <t>Material payroll variance rate</t>
  </si>
  <si>
    <t>EV-D2POD-27</t>
  </si>
  <si>
    <t>Current/prior values, variance, reason, reviewer, resolution</t>
  </si>
  <si>
    <t>EV-A2P-01</t>
  </si>
  <si>
    <t>Share of processed employee-days with unresolved or material attendance exceptions.</t>
  </si>
  <si>
    <t>Entire A2P design baseline</t>
  </si>
  <si>
    <t>Employee-days with material exception / processed employee-days</t>
  </si>
  <si>
    <t>Exception employee-days</t>
  </si>
  <si>
    <t>Approved HR scope, process maps, payroll/attendance policies, fit-gap, workflow and integration design</t>
  </si>
  <si>
    <t>Process Owner / AESL Transformation</t>
  </si>
  <si>
    <t>HR / AESL / Payroll Owner</t>
  </si>
  <si>
    <t>A2P-025</t>
  </si>
  <si>
    <t>L5/L6 step, role, action type, manual/system/automation classification, active time, frequency, exception/control type</t>
  </si>
  <si>
    <t>Scope, actors, policy rules, approval points, exceptions, integrations, system-of-record decisions</t>
  </si>
  <si>
    <t>Payroll Approval</t>
  </si>
  <si>
    <t>Payroll Review Sign-off</t>
  </si>
  <si>
    <t>Reason / site / SBU / period</t>
  </si>
  <si>
    <t>Latest approved versions; review on material change</t>
  </si>
  <si>
    <t>HR ISV exception queue</t>
  </si>
  <si>
    <t>Reconcile observed/off-system actions to logs/SOP; separate mandatory controls from avoidable manual work</t>
  </si>
  <si>
    <t>Map every A2P L4-L6 step to approved requirement/process evidence</t>
  </si>
  <si>
    <t>Quantifies hidden HR/manager correction workload.</t>
  </si>
  <si>
    <t>Draft/conflicting process; open ownership; missing rule or integration decision</t>
  </si>
  <si>
    <t>Unmeasured phone/paper/Excel work; no control-vs-rework distinction</t>
  </si>
  <si>
    <t>Proves intended design only, not actual production maturity</t>
  </si>
  <si>
    <t>M-A2P-08</t>
  </si>
  <si>
    <t>Missing Punch Rate</t>
  </si>
  <si>
    <t>Submit payroll for approval</t>
  </si>
  <si>
    <t>Share of expected clock events missing from the approved attendance source.</t>
  </si>
  <si>
    <t>Package payroll totals, exceptions, reconciliations and variance commentary for authorized approval.</t>
  </si>
  <si>
    <t>Missing expected punch events / expected punch events</t>
  </si>
  <si>
    <t>EV-D2POD-28</t>
  </si>
  <si>
    <t>HR ISV Workflow / Controlled Pack</t>
  </si>
  <si>
    <t>Missing punch events</t>
  </si>
  <si>
    <t>Expected punch events</t>
  </si>
  <si>
    <t>Payroll Owner / HR Approver</t>
  </si>
  <si>
    <t>Site / device / department / employee type</t>
  </si>
  <si>
    <t>Workflow + human review</t>
  </si>
  <si>
    <t>Attendance source + roster</t>
  </si>
  <si>
    <t>Separates device/behavior problems from payroll-engine issues.</t>
  </si>
  <si>
    <t>Baseline/post period, normalized volume/route mix, KPI change, hours saved, transport cost, controls, adoption, assumptions</t>
  </si>
  <si>
    <t>Certified control totals; unresolved material exceptions disclosed; maker-checker</t>
  </si>
  <si>
    <t>Payroll approval readiness rate</t>
  </si>
  <si>
    <t>M-A2P-09</t>
  </si>
  <si>
    <t>Verify comparable scope/mix, attributable change and Finance/process-owner sign-off</t>
  </si>
  <si>
    <t>Run totals, exception register, reconciliation, sign-off pack</t>
  </si>
  <si>
    <t>Claimed savings with no baseline; mix distortion; control degradation; benefit not realized</t>
  </si>
  <si>
    <t>Only E5 should be treated as verified realized transformation value</t>
  </si>
  <si>
    <t>Attendance Correction Rate</t>
  </si>
  <si>
    <t>Human Dependency / Exception</t>
  </si>
  <si>
    <t>A2P-026</t>
  </si>
  <si>
    <t>Share of processed employee-days requiring a correction request or authorized manual adjustment.</t>
  </si>
  <si>
    <t>Corrected employee-days / processed employee-days</t>
  </si>
  <si>
    <t>Corrected employee-days</t>
  </si>
  <si>
    <t>Final Payroll Approval</t>
  </si>
  <si>
    <t>Approve payroll for payment/posting</t>
  </si>
  <si>
    <t>Authorized approver accepts payroll result for bank payment and finance posting after control review.</t>
  </si>
  <si>
    <t>Reason / manager / site / SBU</t>
  </si>
  <si>
    <t>HR ISV correction workflow</t>
  </si>
  <si>
    <t>Authorized HR/Finance Approver</t>
  </si>
  <si>
    <t>Measures manual intervention after digital capture.</t>
  </si>
  <si>
    <t>Available; detailed process evidence pending</t>
  </si>
  <si>
    <t>Human approval with system control</t>
  </si>
  <si>
    <t>Reduce avoidable corrections</t>
  </si>
  <si>
    <t>EV-A2P-02</t>
  </si>
  <si>
    <t>Payroll population / employee eligibility</t>
  </si>
  <si>
    <t>M-A2P-10</t>
  </si>
  <si>
    <t>SoD; delegated authority; no preparer self-approval; immutable approved-run reference</t>
  </si>
  <si>
    <t>Attendance Correction Cycle Time</t>
  </si>
  <si>
    <t>Authoritative employee population and payroll inclusion/exclusion extract</t>
  </si>
  <si>
    <t>Payroll approval cycle time</t>
  </si>
  <si>
    <t>HR Master Data / Payroll</t>
  </si>
  <si>
    <t>Run ID, totals, approver, decision, timestamps, authority</t>
  </si>
  <si>
    <t>Employee ID, company/SBU, employment status, join/exit dates, payroll eligibility, approved exclusion reason</t>
  </si>
  <si>
    <t>Elapsed time from correction submission/detection to approved resolution.</t>
  </si>
  <si>
    <t>3 consecutive payroll periods across representative SBUs</t>
  </si>
  <si>
    <t>Average(correction resolution - request/detection timestamp)</t>
  </si>
  <si>
    <t>Reconcile expected active/payroll population to actual payroll run and approved exclusions</t>
  </si>
  <si>
    <t>Missing active employee; unauthorized inclusion; untraceable exclusion</t>
  </si>
  <si>
    <t>Establishes whether payroll begins from a governed workforce population</t>
  </si>
  <si>
    <t>A2P-027</t>
  </si>
  <si>
    <t>Manager / department / reason</t>
  </si>
  <si>
    <t>HR ISV workflow</t>
  </si>
  <si>
    <t>Salary Payment</t>
  </si>
  <si>
    <t>EV-A2P-03</t>
  </si>
  <si>
    <t>Bank Payment File / Instruction</t>
  </si>
  <si>
    <t>Identifies approval bottlenecks before payroll cutoff.</t>
  </si>
  <si>
    <t>Calendar / roster / shift</t>
  </si>
  <si>
    <t>Generate salary payment instruction</t>
  </si>
  <si>
    <t>Generate approved bank file/API payment instruction from final payroll with control total and employee bank validation.</t>
  </si>
  <si>
    <t>Work calendar, holiday, shift and roster configuration plus assignment history</t>
  </si>
  <si>
    <t>HR ISV / Business Central / Bank Interface</t>
  </si>
  <si>
    <t>HR Operations / HR ISV</t>
  </si>
  <si>
    <t>Approved payroll result + bank payment record</t>
  </si>
  <si>
    <t>M-A2P-11</t>
  </si>
  <si>
    <t>Employee/group, calendar, shift, roster dates, effective dates, change/approval history</t>
  </si>
  <si>
    <t>Leave-to-Attendance Sync Rate</t>
  </si>
  <si>
    <t>Deterministic generation + human authorization</t>
  </si>
  <si>
    <t>Current configuration + 60-90 days history</t>
  </si>
  <si>
    <t>Sample employees and reconstruct expected schedule used for attendance calculation</t>
  </si>
  <si>
    <t>Share of approved leave days correctly reflected in attendance/payable-time classification without duplicate manual entry.</t>
  </si>
  <si>
    <t>Encrypted/controlled file; total and count reconciliation; approved bank master; duplicate payment prevention</t>
  </si>
  <si>
    <t>Overlapping/missing roster; retrospective undocumented edit; wrong holiday/calendar</t>
  </si>
  <si>
    <t>Correctly synchronized approved leave days / approved leave days</t>
  </si>
  <si>
    <t>Bank payment preparation accuracy</t>
  </si>
  <si>
    <t>Separates time-planning quality from device or payroll calculation issues</t>
  </si>
  <si>
    <t>Synchronized leave days</t>
  </si>
  <si>
    <t>Run ID, employee bank, amount, bank file/API ID, total/count</t>
  </si>
  <si>
    <t>Approved leave days</t>
  </si>
  <si>
    <t>Leave type / SBU / period</t>
  </si>
  <si>
    <t>HR ISV leave + attendance</t>
  </si>
  <si>
    <t>EV-A2P-04</t>
  </si>
  <si>
    <t>Verifies integrated time-off processing.</t>
  </si>
  <si>
    <t>Raw attendance capture</t>
  </si>
  <si>
    <t>A2P-028</t>
  </si>
  <si>
    <t>M-A2P-12</t>
  </si>
  <si>
    <t>Finance / Payroll</t>
  </si>
  <si>
    <t>Biometric/device/raw attendance event extract</t>
  </si>
  <si>
    <t>Overtime Calculation Exception Rate</t>
  </si>
  <si>
    <t>Attendance Device / HR Operations</t>
  </si>
  <si>
    <t>Exception / Payroll Input</t>
  </si>
  <si>
    <t>Payment Authorization &amp; Release</t>
  </si>
  <si>
    <t>Employee/device ID, event type, timestamp, location/site, source sequence/id</t>
  </si>
  <si>
    <t>Share of calculated overtime records requiring manual recalculation, policy exception or correction.</t>
  </si>
  <si>
    <t>Authorize salary disbursement</t>
  </si>
  <si>
    <t>30-60 days across representative sites/devices</t>
  </si>
  <si>
    <t>OT records requiring exception handling / OT records calculated</t>
  </si>
  <si>
    <t>Check completeness, duplicates, timestamp integrity and employee/device mapping</t>
  </si>
  <si>
    <t>Finance-authorized release of the approved salary payment instruction to the bank/payment service.</t>
  </si>
  <si>
    <t>Paper/manual replacement; duplicate/missing events; unlinked employee identity</t>
  </si>
  <si>
    <t>Bank / Business Central payment control</t>
  </si>
  <si>
    <t>Proves actual digital attendance capture rather than configured capability</t>
  </si>
  <si>
    <t>Bank/payment record</t>
  </si>
  <si>
    <t>Finance Approver</t>
  </si>
  <si>
    <t>Pending device extract</t>
  </si>
  <si>
    <t>Human authorization</t>
  </si>
  <si>
    <t>EV-A2P-05</t>
  </si>
  <si>
    <t>Attendance integration</t>
  </si>
  <si>
    <t>OT exception records</t>
  </si>
  <si>
    <t>OT records calculated</t>
  </si>
  <si>
    <t>Bank authorization limits; dual control where required; approved payroll reference</t>
  </si>
  <si>
    <t>Source-target interface logs, failed-record queue and reconciliation totals</t>
  </si>
  <si>
    <t>On-time payroll payment rate</t>
  </si>
  <si>
    <t>Technical Lead / HR ISV Integration</t>
  </si>
  <si>
    <t>Policy / department / employee type</t>
  </si>
  <si>
    <t>Payment instruction, authorization, bank submission timestamp</t>
  </si>
  <si>
    <t>Source count, target count, correlation ID, rejected record, retry, final status, timestamp</t>
  </si>
  <si>
    <t>HR ISV attendance/payroll</t>
  </si>
  <si>
    <t>30 days; daily reconciliation</t>
  </si>
  <si>
    <t>Shows whether OT automation is trusted and policy-aligned.</t>
  </si>
  <si>
    <t>Match device events to HR ISV ingestion and inspect failed/retried records</t>
  </si>
  <si>
    <t>Unreconciled count; silent failure; duplicate ingestion; manual file with no control</t>
  </si>
  <si>
    <t>Measures attendance-interface reliability and hidden manual fallback</t>
  </si>
  <si>
    <t>M-A2P-13</t>
  </si>
  <si>
    <t>A2P-029</t>
  </si>
  <si>
    <t>Overtime Approval Cycle Time</t>
  </si>
  <si>
    <t>Pending interface evidence</t>
  </si>
  <si>
    <t>Elapsed time from OT readiness/submission to approval or rejection.</t>
  </si>
  <si>
    <t>Payment Status &amp; Rejection Handling</t>
  </si>
  <si>
    <t>EV-A2P-06</t>
  </si>
  <si>
    <t>Average(OT decision - OT submission/readiness)</t>
  </si>
  <si>
    <t>Reconcile bank response</t>
  </si>
  <si>
    <t>Attendance calculation</t>
  </si>
  <si>
    <t>Match accepted/rejected salary payments to payroll, resolve bank rejects and preserve re-payment approval trail.</t>
  </si>
  <si>
    <t>Bank Interface + HR ISV/BC</t>
  </si>
  <si>
    <t>Calculated attendance records with source punches, roster and rule version</t>
  </si>
  <si>
    <t>Bank/payment status</t>
  </si>
  <si>
    <t>Manager / department / SBU</t>
  </si>
  <si>
    <t>Employee/date, roster, punches, leave, status, payable time, late/early/absence result, rule version</t>
  </si>
  <si>
    <t>Integration + human exception handling</t>
  </si>
  <si>
    <t>Tests manager approval responsiveness ahead of payroll.</t>
  </si>
  <si>
    <t>2 payroll cycles; representative shifts</t>
  </si>
  <si>
    <t>Recalculate sample employee-days and compare system result to approved policy</t>
  </si>
  <si>
    <t>Control totals; rejected-payment queue; no duplicate retry; independent authorization</t>
  </si>
  <si>
    <t>Unexplained manual status; inconsistent rule application; no source lineage</t>
  </si>
  <si>
    <t>M-A2P-14</t>
  </si>
  <si>
    <t>Salary payment success rate</t>
  </si>
  <si>
    <t>Proves deterministic attendance processing quality</t>
  </si>
  <si>
    <t>Attendance Close Timeliness</t>
  </si>
  <si>
    <t>Bank response, accepted/rejected amounts, reason, retry/payment reference</t>
  </si>
  <si>
    <t>Process Performance / Control</t>
  </si>
  <si>
    <t>Share of payroll periods/SBUs whose attendance is certified and locked by the approved cutoff.</t>
  </si>
  <si>
    <t>EV-A2P-07</t>
  </si>
  <si>
    <t>Periods/SBUs closed by cutoff / periods/SBUs due</t>
  </si>
  <si>
    <t>Attendance exceptions</t>
  </si>
  <si>
    <t>On-time closes</t>
  </si>
  <si>
    <t>Closes due</t>
  </si>
  <si>
    <t>A2P-030</t>
  </si>
  <si>
    <t>Missing/invalid punch, roster conflict and attendance exception queue</t>
  </si>
  <si>
    <t>Payroll / Employee</t>
  </si>
  <si>
    <t>SBU / period</t>
  </si>
  <si>
    <t>HR ISV attendance close</t>
  </si>
  <si>
    <t>Payroll Distribution</t>
  </si>
  <si>
    <t>Exception type, employee/date, source events, owner, opened/closed time, disposition</t>
  </si>
  <si>
    <t>Leading indicator of payroll delay.</t>
  </si>
  <si>
    <t>Payslip Publication</t>
  </si>
  <si>
    <t>2 payroll cycles</t>
  </si>
  <si>
    <t>Publish employee payslip</t>
  </si>
  <si>
    <t>Verify material exceptions are detected, owned and resolved before certified close</t>
  </si>
  <si>
    <t>Publish finalized payslip through approved employee self-service/channel after payroll approval, subject to privacy controls.</t>
  </si>
  <si>
    <t>Payroll proceeds with material unresolved exceptions; no owner/SLA; free-text only</t>
  </si>
  <si>
    <t>M-A2P-15</t>
  </si>
  <si>
    <t>Attendance Reopen Rate</t>
  </si>
  <si>
    <t>Quantifies real manual exception burden</t>
  </si>
  <si>
    <t>System / Employee</t>
  </si>
  <si>
    <t>Share of certified attendance periods that require authorized reopen after close.</t>
  </si>
  <si>
    <t>Automated publication after approval</t>
  </si>
  <si>
    <t>Reopened attendance closes / attendance closes</t>
  </si>
  <si>
    <t>EV-A2P-08</t>
  </si>
  <si>
    <t>Reopened closes</t>
  </si>
  <si>
    <t>Attendance correction workflow</t>
  </si>
  <si>
    <t>Attendance closes</t>
  </si>
  <si>
    <t>Employee-only access; finalized run only; privacy and access logging</t>
  </si>
  <si>
    <t>Correction request, before/after value, evidence and approval history</t>
  </si>
  <si>
    <t>SBU / reason / period</t>
  </si>
  <si>
    <t>HR Operations / Managers</t>
  </si>
  <si>
    <t>HR ISV close/reopen history</t>
  </si>
  <si>
    <t>Digital payslip delivery rate</t>
  </si>
  <si>
    <t>Employee/date, original value, requested value, reason, requester, approver, decision, timestamps</t>
  </si>
  <si>
    <t>Highlights weak close discipline or late upstream data.</t>
  </si>
  <si>
    <t>Employee, run ID, publish time, access/delivery status</t>
  </si>
  <si>
    <t>60-90 days; all material and sampled routine corrections</t>
  </si>
  <si>
    <t>Reduce avoidable reopenings</t>
  </si>
  <si>
    <t>Confirm original data is preserved and requester cannot approve own correction</t>
  </si>
  <si>
    <t>Direct overwrite; no reason; self-approval; correction outside workflow</t>
  </si>
  <si>
    <t>M-A2P-16</t>
  </si>
  <si>
    <t>Measures correction governance and human dependency</t>
  </si>
  <si>
    <t>Payroll Master Completeness</t>
  </si>
  <si>
    <t>A2P-031</t>
  </si>
  <si>
    <t>Share of payroll-eligible employees with all mandatory pay, bank, organization and dimension fields valid before calculation.</t>
  </si>
  <si>
    <t>Pending workflow evidence</t>
  </si>
  <si>
    <t>Eligible employees with complete valid payroll master / eligible employees</t>
  </si>
  <si>
    <t>Finance Integration</t>
  </si>
  <si>
    <t>EV-A2P-09</t>
  </si>
  <si>
    <t>Complete payroll masters</t>
  </si>
  <si>
    <t>Payroll Journal Generation</t>
  </si>
  <si>
    <t>Leave-to-attendance</t>
  </si>
  <si>
    <t>Eligible employees</t>
  </si>
  <si>
    <t>Create payroll accounting entries</t>
  </si>
  <si>
    <t>Approved leave records joined to attendance outcome and leave balance</t>
  </si>
  <si>
    <t>Company / SBU / field</t>
  </si>
  <si>
    <t>Transform approved payroll results into controlled Business Central general-journal entries using approved G/L mappings and dimensions.</t>
  </si>
  <si>
    <t>HR ISV employee/payroll master</t>
  </si>
  <si>
    <t>Leave ID/type, dates, approval, balance effect, attendance classification</t>
  </si>
  <si>
    <t>HR ISV -&gt; Business Central</t>
  </si>
  <si>
    <t>Prevents downstream calculation/payment/posting failures.</t>
  </si>
  <si>
    <t>Business Central financial ledger after posting</t>
  </si>
  <si>
    <t>Sample approved leave and verify no duplicate manual attendance input and correct balance/status</t>
  </si>
  <si>
    <t>Approved leave not reflected; manual duplicate entry; inconsistent balance</t>
  </si>
  <si>
    <t>Deterministic integration + review</t>
  </si>
  <si>
    <t>M-A2P-17</t>
  </si>
  <si>
    <t>Proves integration between leave and attendance</t>
  </si>
  <si>
    <t>Effective-Date Payroll Accuracy</t>
  </si>
  <si>
    <t>Approved mapping; balanced journal; valid dimensions; source run reference; duplicate prevention</t>
  </si>
  <si>
    <t>Share of payroll-impacting employee lifecycle changes applied in the correct payroll period according to approved effective date.</t>
  </si>
  <si>
    <t>Payroll-to-GL journal accuracy</t>
  </si>
  <si>
    <t>EV-A2P-10</t>
  </si>
  <si>
    <t>Correctly applied effective-dated changes / payroll-impacting changes due</t>
  </si>
  <si>
    <t>Payroll component/account mapping, dimensions, journal lines, source run ID</t>
  </si>
  <si>
    <t>Overtime calculation &amp; approval</t>
  </si>
  <si>
    <t>Correctly applied changes</t>
  </si>
  <si>
    <t>Microsoft Learn - Import payroll transactions + HR Annexes</t>
  </si>
  <si>
    <t>Changes due</t>
  </si>
  <si>
    <t>Calculated OT, policy/rate basis and approval workflow</t>
  </si>
  <si>
    <t>Change type / SBU / period</t>
  </si>
  <si>
    <t>https://learn.microsoft.com/en-us/dynamics365/business-central/finance-how-import-payroll-transactions</t>
  </si>
  <si>
    <t>HR lifecycle + payroll result</t>
  </si>
  <si>
    <t>Employee/date, attendance hours, eligible OT hours, rule/rate, approval, approver, timestamps</t>
  </si>
  <si>
    <t>Controls transfer/promotion/increment/join/exit payroll accuracy.</t>
  </si>
  <si>
    <t>2 payroll cycles; include exception cases</t>
  </si>
  <si>
    <t>Recalculate sampled OT and trace approved result to payroll input</t>
  </si>
  <si>
    <t>Spreadsheet calculation; no approval; OT paid differs from approved OT</t>
  </si>
  <si>
    <t>M-A2P-18</t>
  </si>
  <si>
    <t>Establishes payable-time automation and approval control</t>
  </si>
  <si>
    <t>Variable Payroll Input Digital Adoption</t>
  </si>
  <si>
    <t>Share of variable earning/deduction inputs received through approved digital workflow or controlled integration.</t>
  </si>
  <si>
    <t>Digitally governed variable inputs / variable inputs</t>
  </si>
  <si>
    <t>EV-A2P-11</t>
  </si>
  <si>
    <t>Digitally governed inputs</t>
  </si>
  <si>
    <t>Attendance close / lock</t>
  </si>
  <si>
    <t>Variable inputs</t>
  </si>
  <si>
    <t>Attendance close certification, control totals and reopen history</t>
  </si>
  <si>
    <t>Component / source department / SBU</t>
  </si>
  <si>
    <t>HR ISV + approved integrations</t>
  </si>
  <si>
    <t>Period, employee counts, exception count, close time, approver, reopen reason/user/time</t>
  </si>
  <si>
    <t>Detects spreadsheet/email/manual payroll input dependency.</t>
  </si>
  <si>
    <t>3 payroll periods</t>
  </si>
  <si>
    <t>Increase toward 100% for governed inputs</t>
  </si>
  <si>
    <t>Verify no uncontrolled changes after close and all reopenings are authorized</t>
  </si>
  <si>
    <t>Post-close edits without audit; frequent late reopen; unresolved exceptions at close</t>
  </si>
  <si>
    <t>M-A2P-19</t>
  </si>
  <si>
    <t>Shows upstream readiness and cutoff discipline</t>
  </si>
  <si>
    <t>Late Payroll Input Rate</t>
  </si>
  <si>
    <t>Process Discipline</t>
  </si>
  <si>
    <t>Share of variable or approved payroll-impacting inputs received after the defined cutoff.</t>
  </si>
  <si>
    <t>Late inputs / inputs due</t>
  </si>
  <si>
    <t>Late inputs</t>
  </si>
  <si>
    <t>EV-A2P-12</t>
  </si>
  <si>
    <t>Inputs due</t>
  </si>
  <si>
    <t>Payroll master / bank / dimensions</t>
  </si>
  <si>
    <t>Source / component / SBU</t>
  </si>
  <si>
    <t>Payroll master completeness and sensitive-field change log</t>
  </si>
  <si>
    <t>HR ISV workflow/import timestamps</t>
  </si>
  <si>
    <t>Identifies departments causing payroll rework/delay.</t>
  </si>
  <si>
    <t>Employee, pay group/structure, bank details, company, department/dimensions, effective date, change approval</t>
  </si>
  <si>
    <t>Current master + 90-day change history</t>
  </si>
  <si>
    <t>Profile mandatory-field completeness and sample sensitive field changes to approvals</t>
  </si>
  <si>
    <t>M-A2P-20</t>
  </si>
  <si>
    <t>Missing/invalid bank; wrong dimensions; unauthorized salary/bank change</t>
  </si>
  <si>
    <t>Loan / Advance Deduction Reconciliation</t>
  </si>
  <si>
    <t>Determines whether payroll data is sufficiently controlled for automation</t>
  </si>
  <si>
    <t>Share of payroll loan/advance deductions that reconcile to approved schedules and opening/closing balances.</t>
  </si>
  <si>
    <t>Reconciled loan deductions / loan deductions due</t>
  </si>
  <si>
    <t>Pending master data evidence</t>
  </si>
  <si>
    <t>Reconciled deductions</t>
  </si>
  <si>
    <t>EV-A2P-13</t>
  </si>
  <si>
    <t>Deductions due</t>
  </si>
  <si>
    <t>Employee lifecycle changes</t>
  </si>
  <si>
    <t>Employee / loan type / period</t>
  </si>
  <si>
    <t>Approved transfer, promotion, increment, join, confirmation and separation events linked to payroll effect</t>
  </si>
  <si>
    <t>HR ISV loan ledger + payroll</t>
  </si>
  <si>
    <t>Prevents duplicate or missed employee deductions.</t>
  </si>
  <si>
    <t>Event type, employee, approval, effective date, old/new values, payroll period/result</t>
  </si>
  <si>
    <t>90 days; all payroll-impacting event types</t>
  </si>
  <si>
    <t>Trace sample events to correct payroll period and result</t>
  </si>
  <si>
    <t>M-A2P-21</t>
  </si>
  <si>
    <t>Retro / Arrears Exception Rate</t>
  </si>
  <si>
    <t>Share of retro/arrears calculations requiring manual recalculation or correction after initial payroll calculation.</t>
  </si>
  <si>
    <t>Retro items with exception / retro items processed</t>
  </si>
  <si>
    <t>Exception retro items</t>
  </si>
  <si>
    <t>Retro items processed</t>
  </si>
  <si>
    <t>Reason / change type / period</t>
  </si>
  <si>
    <t>HR ISV payroll</t>
  </si>
  <si>
    <t>Tests effective-dating and retro calculation maturity.</t>
  </si>
  <si>
    <t>Late/manual payroll adjustment; effective date ignored; direct overwrite</t>
  </si>
  <si>
    <t>M-A2P-22</t>
  </si>
  <si>
    <t>Tests effective-dated HR-to-payroll integration</t>
  </si>
  <si>
    <t>Payroll Rule Change Defect Rate</t>
  </si>
  <si>
    <t>Configuration Quality</t>
  </si>
  <si>
    <t>A2P-032</t>
  </si>
  <si>
    <t>Share of payroll/statutory/policy rule changes causing a calculation defect or unauthorized variance in test or production.</t>
  </si>
  <si>
    <t>EV-A2P-14</t>
  </si>
  <si>
    <t>Rule changes with verified defect / rule changes deployed</t>
  </si>
  <si>
    <t>Variable payroll inputs</t>
  </si>
  <si>
    <t>Defective rule changes</t>
  </si>
  <si>
    <t>Payroll Journal Approval &amp; Posting</t>
  </si>
  <si>
    <t>Variable earnings/deductions source, approval and ingestion records</t>
  </si>
  <si>
    <t>Rule changes deployed</t>
  </si>
  <si>
    <t>Payroll / Source Departments</t>
  </si>
  <si>
    <t>Validate and post payroll journal</t>
  </si>
  <si>
    <t>Employee, component, value, source system/owner, approval, cutoff, import/workflow timestamp</t>
  </si>
  <si>
    <t>3 payroll cycles</t>
  </si>
  <si>
    <t>Rule / release / company</t>
  </si>
  <si>
    <t>Reconcile source-approved inputs to payroll result and identify late/off-system inputs</t>
  </si>
  <si>
    <t>Email/spreadsheet with no controlled import; duplicate/missed input; late change after cutoff</t>
  </si>
  <si>
    <t>Finance reviews balancing, accounts, dimensions and source references, then posts approved payroll journal to the general ledger.</t>
  </si>
  <si>
    <t>Measures digital adoption and source-department discipline</t>
  </si>
  <si>
    <t>Configuration change + test/defect evidence</t>
  </si>
  <si>
    <t>Controls payroll configuration change risk.</t>
  </si>
  <si>
    <t>Reduce toward zero</t>
  </si>
  <si>
    <t>Finance Reviewer / Poster</t>
  </si>
  <si>
    <t>EV-A2P-15</t>
  </si>
  <si>
    <t>Loans / advances</t>
  </si>
  <si>
    <t>System validation + human posting authority</t>
  </si>
  <si>
    <t>M-A2P-23</t>
  </si>
  <si>
    <t>First-Pass Payroll Accuracy</t>
  </si>
  <si>
    <t>Loan opening/outstanding balance, schedule, deduction and closing balance reconciliation</t>
  </si>
  <si>
    <t>Payroll Quality</t>
  </si>
  <si>
    <t>Employee, loan ID, opening balance, scheduled deduction, payroll deduction, closing balance</t>
  </si>
  <si>
    <t>Share of employees whose initial payroll calculation requires no correction before final approval beyond approved non-defect adjustments.</t>
  </si>
  <si>
    <t>3 payroll cycles; include new/closed loans</t>
  </si>
  <si>
    <t>Employees with no payroll correction / payroll employees</t>
  </si>
  <si>
    <t>Recalculate sampled balances and verify no duplicate/missed deduction</t>
  </si>
  <si>
    <t>SoD; balanced journal; posting rights; approved source run; posting date control</t>
  </si>
  <si>
    <t>First-pass accurate employees</t>
  </si>
  <si>
    <t>Spreadsheet-only balance; unexplained balance difference; deduction without source</t>
  </si>
  <si>
    <t>Payroll posting cycle time</t>
  </si>
  <si>
    <t>Controls payroll-finance employee receivable deductions</t>
  </si>
  <si>
    <t>Payroll employees</t>
  </si>
  <si>
    <t>Journal batch, posting user/time, G/L entries, source run</t>
  </si>
  <si>
    <t>Company / SBU / component / reason</t>
  </si>
  <si>
    <t>Payroll run + adjustment history</t>
  </si>
  <si>
    <t>EV-A2P-16</t>
  </si>
  <si>
    <t>Payroll/statutory parameter configuration</t>
  </si>
  <si>
    <t>Primary payroll calculation quality measure.</t>
  </si>
  <si>
    <t>Approved payroll parameter/version register and test evidence</t>
  </si>
  <si>
    <t>A2P-033</t>
  </si>
  <si>
    <t>Payroll Owner / ISV Consultant</t>
  </si>
  <si>
    <t>M-A2P-24</t>
  </si>
  <si>
    <t>Parameter/component, value/formula, effective date, approver, version, test result</t>
  </si>
  <si>
    <t>Payroll Exception Rate</t>
  </si>
  <si>
    <t>Current configuration + every material change</t>
  </si>
  <si>
    <t>Select recent changes and prove approval, effective date and regression/parallel test</t>
  </si>
  <si>
    <t>Payroll-to-GL Reconciliation</t>
  </si>
  <si>
    <t>Unapproved configuration; undocumented formula; production edit without testing</t>
  </si>
  <si>
    <t>Reconcile payroll and ledger</t>
  </si>
  <si>
    <t>Determines configuration-control maturity; does not by itself prove legal compliance</t>
  </si>
  <si>
    <t>Reconcile payroll gross/net, deductions, liabilities, payment totals and Business Central G/L postings by company/dimension.</t>
  </si>
  <si>
    <t>HR ISV + Business Central</t>
  </si>
  <si>
    <t>Business Central for financial truth</t>
  </si>
  <si>
    <t>Payroll + Finance</t>
  </si>
  <si>
    <t>Pending approved configuration</t>
  </si>
  <si>
    <t>EV-A2P-17</t>
  </si>
  <si>
    <t>Payroll calculation results</t>
  </si>
  <si>
    <t>100% accounted control totals; documented timing differences; owned exception queue</t>
  </si>
  <si>
    <t>Payroll-to-GL reconciliation rate</t>
  </si>
  <si>
    <t>Payroll totals, payment totals, journal/G/L totals, dimensions, variances</t>
  </si>
  <si>
    <t>P2P-001</t>
  </si>
  <si>
    <t>Sales / Planning / Production</t>
  </si>
  <si>
    <t>Demand &amp; Production Planning</t>
  </si>
  <si>
    <t>Payroll run detail with source inputs, gross-to-net components and run/version ID</t>
  </si>
  <si>
    <t>A2P-034</t>
  </si>
  <si>
    <t>Demand Signal Consolidation</t>
  </si>
  <si>
    <t>Payroll Owner / HR ISV</t>
  </si>
  <si>
    <t>Consolidate production demand</t>
  </si>
  <si>
    <t>Employee, run ID, earnings, deductions, gross, net, attendance/OT inputs, rule version</t>
  </si>
  <si>
    <t>Post-Payroll Control</t>
  </si>
  <si>
    <t>3 consecutive payroll cycles</t>
  </si>
  <si>
    <t>Consolidate sales orders, forecast, inventory position and approved production requirements into a dated production demand view.</t>
  </si>
  <si>
    <t>Correction / Reversal</t>
  </si>
  <si>
    <t>Recompute representative employees and reconcile components to approved inputs/configuration</t>
  </si>
  <si>
    <t>Process approved post-payroll correction</t>
  </si>
  <si>
    <t>Business Central Planning + Sales/Forecast Source</t>
  </si>
  <si>
    <t>Manual opaque calculation; no input lineage; repeated correction</t>
  </si>
  <si>
    <t>Core evidence for actual payroll-engine execution</t>
  </si>
  <si>
    <t>Handle material payroll correction, reversal or off-cycle adjustment through controlled approval and linked accounting/payment entries.</t>
  </si>
  <si>
    <t>Business Central planning demand</t>
  </si>
  <si>
    <t>Production Planner</t>
  </si>
  <si>
    <t>HR ISV + Business Central ledger</t>
  </si>
  <si>
    <t>Share of payroll employees or cases triggering a material pre-approval payroll exception.</t>
  </si>
  <si>
    <t>Rules + human planning review</t>
  </si>
  <si>
    <t>Payroll / Finance Approver</t>
  </si>
  <si>
    <t>Pending production payroll run</t>
  </si>
  <si>
    <t>EV-A2P-18</t>
  </si>
  <si>
    <t>Payroll exceptions / variance review</t>
  </si>
  <si>
    <t>Employees/cases with material exception / payroll employees/cases</t>
  </si>
  <si>
    <t>Payroll validation alerts, variance report, reason and resolution history</t>
  </si>
  <si>
    <t>Approved demand sources; duplicate demand prevention; demand-source traceability</t>
  </si>
  <si>
    <t>Payroll Review / HR</t>
  </si>
  <si>
    <t>Exception employees/cases</t>
  </si>
  <si>
    <t>Employee/component, threshold, current/prior/expected, variance, exception reason, owner, resolution</t>
  </si>
  <si>
    <t>Demand-to-plan conversion rate</t>
  </si>
  <si>
    <t>Payroll employees/cases</t>
  </si>
  <si>
    <t>No direct overwrite of paid/posted payroll; source-run linkage; independent approval; full audit</t>
  </si>
  <si>
    <t>Verify material exceptions are explainable and resolved before final approval</t>
  </si>
  <si>
    <t>Post-payroll correction rate</t>
  </si>
  <si>
    <t>Demand source, quantity, due date, source reference, planning timestamp</t>
  </si>
  <si>
    <t>No variance review; excessive manual spreadsheet checking; unexplained material change</t>
  </si>
  <si>
    <t>Exception reason / SBU / period</t>
  </si>
  <si>
    <t>Correction reason, affected employee/components, approval, reversal/new entry references</t>
  </si>
  <si>
    <t>Measures controlled payroll review and analytics readiness</t>
  </si>
  <si>
    <t>Production BRD + Microsoft BC Planning</t>
  </si>
  <si>
    <t>HR ISV validation/analytics</t>
  </si>
  <si>
    <t>Quantifies review workload and payroll risk.</t>
  </si>
  <si>
    <t>A2P-035</t>
  </si>
  <si>
    <t>Management / HR / Finance</t>
  </si>
  <si>
    <t>https://learn.microsoft.com/en-us/dynamics365/business-central/production-about-planning-functionality</t>
  </si>
  <si>
    <t>Payroll Performance Management</t>
  </si>
  <si>
    <t>EV-A2P-19</t>
  </si>
  <si>
    <t>A2P Process Monitoring</t>
  </si>
  <si>
    <t>Payroll approval</t>
  </si>
  <si>
    <t>Monitor attendance-to-payroll performance</t>
  </si>
  <si>
    <t>Payroll approval pack and system workflow history</t>
  </si>
  <si>
    <t>Track cycle time, digital adoption, exceptions, human touches, payroll accuracy, approval/payment timeliness, posting/reconciliation and realized benefit.</t>
  </si>
  <si>
    <t>M-A2P-25</t>
  </si>
  <si>
    <t>Payroll Owner / HR / Finance Approver</t>
  </si>
  <si>
    <t>Run ID, control totals, exceptions, approver, authority, decision, timestamp</t>
  </si>
  <si>
    <t>Material Payroll Variance Rate</t>
  </si>
  <si>
    <t>Event data from HR ISV, devices, bank and Business Central</t>
  </si>
  <si>
    <t>Control / Analytics</t>
  </si>
  <si>
    <t>Confirm preparer/approver separation and approval occurs after control completion</t>
  </si>
  <si>
    <t>Self-approval; approval outside system with no evidence; approval before reconciliation</t>
  </si>
  <si>
    <t>Share of employees/components exceeding approved period-over-period or expected-value variance thresholds.</t>
  </si>
  <si>
    <t>Proves payroll approval control; human approval is expected, not a maturity defect</t>
  </si>
  <si>
    <t>Material variance cases / cases evaluated</t>
  </si>
  <si>
    <t>Stable case IDs; event timestamps; KPI lineage; privacy minimization; production evidence</t>
  </si>
  <si>
    <t>Material variance cases</t>
  </si>
  <si>
    <t>Cases evaluated</t>
  </si>
  <si>
    <t>Attendance-to-payroll end-to-end cycle time</t>
  </si>
  <si>
    <t>EV-A2P-20</t>
  </si>
  <si>
    <t>Salary bank file / payment instruction</t>
  </si>
  <si>
    <t>Cross-system event log from attendance period through payment/posting/reconciliation</t>
  </si>
  <si>
    <t>Component / department / employee / SBU</t>
  </si>
  <si>
    <t>Current/prior payroll analytics</t>
  </si>
  <si>
    <t>Generated bank file/API instruction with control totals and approval reference</t>
  </si>
  <si>
    <t>Focuses reviewer attention on material change.</t>
  </si>
  <si>
    <t>Run ID, employee/bank reference, amount, count, total, file/API ID, generation timestamp, approver</t>
  </si>
  <si>
    <t>Monitor; explain rather than simply minimize</t>
  </si>
  <si>
    <t>Reconcile employee count/amount to approved payroll and verify duplicate-prevention controls</t>
  </si>
  <si>
    <t>Manual bank sheet; mismatched totals; file regenerated without version/approval control</t>
  </si>
  <si>
    <t>Measures payment-preparation digitization and control</t>
  </si>
  <si>
    <t>M-A2P-26</t>
  </si>
  <si>
    <t>Pending bank/payment evidence</t>
  </si>
  <si>
    <t>Pre-Payroll Exception Resolution Cycle Time</t>
  </si>
  <si>
    <t>EV-A2P-21</t>
  </si>
  <si>
    <t>Bank payment response / rejection</t>
  </si>
  <si>
    <t>Elapsed time from payroll exception detection to approved resolution or documented acceptance.</t>
  </si>
  <si>
    <t>Bank acceptance/rejection response and controlled retry history</t>
  </si>
  <si>
    <t>Average(exception close - exception open)</t>
  </si>
  <si>
    <t>Payment record, accepted/rejected status, reason, response time, retry/re-payment reference</t>
  </si>
  <si>
    <t>3 payroll cycles; all rejects</t>
  </si>
  <si>
    <t>Match bank response to approved payment instruction and verify rejected cases are resolved once</t>
  </si>
  <si>
    <t>Exception owner / reason / SBU</t>
  </si>
  <si>
    <t>No status return; duplicate retry; rejected employee left unresolved</t>
  </si>
  <si>
    <t>Payroll exception workflow</t>
  </si>
  <si>
    <t>Proves salary payment completion and exception handling</t>
  </si>
  <si>
    <t>Shows whether exception handling threatens payroll deadline.</t>
  </si>
  <si>
    <t>Pending bank response evidence</t>
  </si>
  <si>
    <t>EV-A2P-22</t>
  </si>
  <si>
    <t>M-A2P-27</t>
  </si>
  <si>
    <t>Digital payslip</t>
  </si>
  <si>
    <t>Payroll Approval Readiness Rate</t>
  </si>
  <si>
    <t>Payslip publication/delivery log and employee access evidence</t>
  </si>
  <si>
    <t>Control / Process</t>
  </si>
  <si>
    <t>HR ISV / ESS</t>
  </si>
  <si>
    <t>Employee, payroll run, publish timestamp, delivery/access status, channel</t>
  </si>
  <si>
    <t>Share of payroll runs submitted for approval with required control totals, variance review and material exceptions resolved/disclosed.</t>
  </si>
  <si>
    <t>Approval-ready runs / runs submitted</t>
  </si>
  <si>
    <t>Verify payslips are final-run only and access is limited to employee/authorized roles</t>
  </si>
  <si>
    <t>Paper-only distribution; wrong employee access; pre-approval publication</t>
  </si>
  <si>
    <t>Approval-ready runs</t>
  </si>
  <si>
    <t>Measures employee-service digitization and privacy control</t>
  </si>
  <si>
    <t>Runs submitted</t>
  </si>
  <si>
    <t>Pending ESS evidence</t>
  </si>
  <si>
    <t>Company / payroll period</t>
  </si>
  <si>
    <t>EV-A2P-23</t>
  </si>
  <si>
    <t>Payroll sign-off pack</t>
  </si>
  <si>
    <t>Prevents approval becoming a data-cleanup stage.</t>
  </si>
  <si>
    <t>P2P-002</t>
  </si>
  <si>
    <t>Payroll-to-BC journal integration</t>
  </si>
  <si>
    <t>Planning / Production</t>
  </si>
  <si>
    <t>M-A2P-28</t>
  </si>
  <si>
    <t>Payroll journal/import payload, account mapping, dimensions and Business Central general journal</t>
  </si>
  <si>
    <t>Net Requirements Planning</t>
  </si>
  <si>
    <t>Payroll Approval Cycle Time</t>
  </si>
  <si>
    <t>Finance / Business Central</t>
  </si>
  <si>
    <t>Calculate production requirements</t>
  </si>
  <si>
    <t>Run ID, component/account mapping, G/L account, dimensions, debit/credit, journal batch, validation errors</t>
  </si>
  <si>
    <t>Elapsed time from approval-ready submission to final authorized payroll approval.</t>
  </si>
  <si>
    <t>Calculate net requirements using demand, inventory, replenishment policy, BOM structure and lead times to propose production supply.</t>
  </si>
  <si>
    <t>Average(final approval - approval-ready submission)</t>
  </si>
  <si>
    <t>Business Central Planning Worksheet</t>
  </si>
  <si>
    <t>Reconcile generated journal to approved payroll totals and test account/dimension mapping</t>
  </si>
  <si>
    <t>Deterministic planning engine + human review</t>
  </si>
  <si>
    <t>Approver / company / period</t>
  </si>
  <si>
    <t>Manual rekey; unbalanced journal; invalid dimensions; no source-run reference</t>
  </si>
  <si>
    <t>Measures approval latency without removing human control.</t>
  </si>
  <si>
    <t>Approved planning parameters; no untraceable manual quantity changes; planning warnings reviewed</t>
  </si>
  <si>
    <t>Reduce vs baseline within governance</t>
  </si>
  <si>
    <t>Proves finance integration rather than spreadsheet handoff</t>
  </si>
  <si>
    <t>Planning recommendation acceptance rate</t>
  </si>
  <si>
    <t>Planning worksheet lines, source demand, action message, planner decision</t>
  </si>
  <si>
    <t>M-A2P-29</t>
  </si>
  <si>
    <t>Microsoft BC Planning</t>
  </si>
  <si>
    <t>On-Time Payroll Approval Rate</t>
  </si>
  <si>
    <t>Service / Control</t>
  </si>
  <si>
    <t>Share of payroll runs receiving final approval by the approved payment/posting deadline.</t>
  </si>
  <si>
    <t>Payroll runs approved by deadline / payroll runs due</t>
  </si>
  <si>
    <t>On-time approved runs</t>
  </si>
  <si>
    <t>Runs due</t>
  </si>
  <si>
    <t>P2P-003</t>
  </si>
  <si>
    <t>Company / period</t>
  </si>
  <si>
    <t>Payroll calendar + workflow</t>
  </si>
  <si>
    <t>Leading indicator of on-time salary payment.</t>
  </si>
  <si>
    <t>Production Plan Approval</t>
  </si>
  <si>
    <t>Approve production plan</t>
  </si>
  <si>
    <t>M-A2P-30</t>
  </si>
  <si>
    <t>Review proposed quantities, due dates, capacity constraints and material risks before committing firm/released production orders.</t>
  </si>
  <si>
    <t>Bank Payment Preparation Accuracy</t>
  </si>
  <si>
    <t>Business Central + Approved Planning Workflow</t>
  </si>
  <si>
    <t>Control / Payment</t>
  </si>
  <si>
    <t>Approved production plan / production orders</t>
  </si>
  <si>
    <t>Share of generated salary payment instructions whose employee count and total amount reconcile to final approved payroll and valid bank details.</t>
  </si>
  <si>
    <t>Production Manager / Planner</t>
  </si>
  <si>
    <t>Reconciled payment instructions / payment instructions generated</t>
  </si>
  <si>
    <t>Human approval with system evidence</t>
  </si>
  <si>
    <t>Reconciled instructions</t>
  </si>
  <si>
    <t>Instructions generated</t>
  </si>
  <si>
    <t>Defined authority; version history; exceptions and overrides documented</t>
  </si>
  <si>
    <t>Bank / company / period</t>
  </si>
  <si>
    <t>Production plan approval cycle time</t>
  </si>
  <si>
    <t>HR ISV/BC + bank file/API</t>
  </si>
  <si>
    <t>Plan version, approvals, constraints, changes, timestamps</t>
  </si>
  <si>
    <t>Prevents payment-file errors and duplicate/missing salary.</t>
  </si>
  <si>
    <t>Production BRD</t>
  </si>
  <si>
    <t>https://docs.google.com/document/d/1JZeibH6jDWNLybYCgJMq-fEYwidL32H4_BTkQFD0Ozw/edit</t>
  </si>
  <si>
    <t>M-A2P-31</t>
  </si>
  <si>
    <t>Salary Payment Success Rate</t>
  </si>
  <si>
    <t>Business Outcome / Payment</t>
  </si>
  <si>
    <t>Share of authorized employee salary payments accepted/completed by the bank on the intended cycle.</t>
  </si>
  <si>
    <t>Successful salary payments / authorized salary payments</t>
  </si>
  <si>
    <t>Successful salary payments</t>
  </si>
  <si>
    <t>Authorized salary payments</t>
  </si>
  <si>
    <t>Bank response + payment record</t>
  </si>
  <si>
    <t>Direct employee payroll outcome.</t>
  </si>
  <si>
    <t>M-A2P-32</t>
  </si>
  <si>
    <t>Bank Rejection Rate</t>
  </si>
  <si>
    <t>Exception / Payment</t>
  </si>
  <si>
    <t>Share of authorized salary payment records rejected by the bank/payment service.</t>
  </si>
  <si>
    <t>Rejected payments / authorized payments submitted</t>
  </si>
  <si>
    <t>Pending integration evidence</t>
  </si>
  <si>
    <t>Rejected payments</t>
  </si>
  <si>
    <t>Authorized payments submitted</t>
  </si>
  <si>
    <t>EV-A2P-24</t>
  </si>
  <si>
    <t>Reject reason / bank / SBU</t>
  </si>
  <si>
    <t>Bank response</t>
  </si>
  <si>
    <t>Identifies bank-master and payment-interface quality issues.</t>
  </si>
  <si>
    <t>M-A2P-33</t>
  </si>
  <si>
    <t>On-Time Salary Payment Rate</t>
  </si>
  <si>
    <t>Business Central payroll posting</t>
  </si>
  <si>
    <t>Share of eligible employees whose salary payment is completed by the approved pay date/time.</t>
  </si>
  <si>
    <t>Posted general ledger entries and posting audit linked to payroll run</t>
  </si>
  <si>
    <t>Employees paid on time / eligible employees due for payment</t>
  </si>
  <si>
    <t>Employees paid on time</t>
  </si>
  <si>
    <t>Eligible employees due</t>
  </si>
  <si>
    <t>Document/journal no., payroll run reference, G/L account, dimension, amount, posting date, posting user</t>
  </si>
  <si>
    <t>Trace approved payroll journal to posted ledger and verify posting authority/date controls</t>
  </si>
  <si>
    <t>Bank/payment status + payroll calendar</t>
  </si>
  <si>
    <t>Posted entry with no payroll reference; manual amount change; unauthorized poster</t>
  </si>
  <si>
    <t>Primary service outcome for payroll.</t>
  </si>
  <si>
    <t>Establishes payroll-to-finance system-of-record integrity</t>
  </si>
  <si>
    <t>M-A2P-34</t>
  </si>
  <si>
    <t>Digital Payslip Delivery Rate</t>
  </si>
  <si>
    <t>Pending production BC extract</t>
  </si>
  <si>
    <t>Adoption / Employee Service</t>
  </si>
  <si>
    <t>EV-A2P-25</t>
  </si>
  <si>
    <t>Share of finalized payroll employees with payslip published through the approved digital channel.</t>
  </si>
  <si>
    <t>Payroll-bank-GL reconciliation</t>
  </si>
  <si>
    <t>Employees with digital payslip published / finalized payroll employees</t>
  </si>
  <si>
    <t>Digital payslips published</t>
  </si>
  <si>
    <t>Finalized payroll employees</t>
  </si>
  <si>
    <t>Certified reconciliation dataset joining payroll result, payment and BC ledger</t>
  </si>
  <si>
    <t>Payroll + Finance / Transformation Data</t>
  </si>
  <si>
    <t>Payroll run, employee/component totals, bank payment totals/status, journal/G/L totals, company/dimensions, variance</t>
  </si>
  <si>
    <t>P2P-004</t>
  </si>
  <si>
    <t>Rolling 3-6 payroll periods; monthly certification</t>
  </si>
  <si>
    <t>Measures removal of paper/manual payslip distribution.</t>
  </si>
  <si>
    <t>Test amount/count conservation and resolve timing/other differences with ownership</t>
  </si>
  <si>
    <t>Manufacturing Master Data</t>
  </si>
  <si>
    <t>Increase toward 100% where digital distribution is policy</t>
  </si>
  <si>
    <t>Unexplained imbalance; orphan payment/posting; spreadsheet reconciliation with unstable keys</t>
  </si>
  <si>
    <t>Production BOM / Recipe</t>
  </si>
  <si>
    <t>Core A2P control-tower integrity evidence</t>
  </si>
  <si>
    <t>M-A2P-35</t>
  </si>
  <si>
    <t>Validate certified BOM/recipe</t>
  </si>
  <si>
    <t>Payroll-to-GL Journal Accuracy</t>
  </si>
  <si>
    <t>Maintain approved component quantities, versions and effective dates for the product/grade before production execution.</t>
  </si>
  <si>
    <t>Finance Integration / Control</t>
  </si>
  <si>
    <t>Business Central Production BOM</t>
  </si>
  <si>
    <t>EV-A2P-26</t>
  </si>
  <si>
    <t>Share of payroll journals passing balance, account, dimension and source-run validation without manual correction.</t>
  </si>
  <si>
    <t>Payroll access / SoD</t>
  </si>
  <si>
    <t>Journals passing first validation / payroll journals generated</t>
  </si>
  <si>
    <t>Role-permission matrix plus HR ISV, BC and payment authorization logs</t>
  </si>
  <si>
    <t>Production Engineering / Authorized Master Data</t>
  </si>
  <si>
    <t>First-pass valid journals</t>
  </si>
  <si>
    <t>Security / HR / Finance</t>
  </si>
  <si>
    <t>Payroll journals generated</t>
  </si>
  <si>
    <t>Controlled master maintenance</t>
  </si>
  <si>
    <t>Named user, role, permissions, preparer/approver/poster/payment actions, access-review result</t>
  </si>
  <si>
    <t>Current access + quarterly review; sample 3 payroll cycles</t>
  </si>
  <si>
    <t>Company / dimension / period</t>
  </si>
  <si>
    <t>Test critical SoD conflicts and shared/unauthorized access to payroll/bank/posting functions</t>
  </si>
  <si>
    <t>HR ISV integration + Business Central general journal</t>
  </si>
  <si>
    <t>Shared account; preparer can approve/pay/post; excessive payroll access</t>
  </si>
  <si>
    <t>Determines whether automation can scale safely without weakening control</t>
  </si>
  <si>
    <t>Measures accounting integration quality.</t>
  </si>
  <si>
    <t>Pending security evidence</t>
  </si>
  <si>
    <t>M-A2P-36</t>
  </si>
  <si>
    <t>EV-A2P-27</t>
  </si>
  <si>
    <t>A2P event-log completeness</t>
  </si>
  <si>
    <t>Payroll Posting Cycle Time</t>
  </si>
  <si>
    <t>Cross-system process-mining/event-log table</t>
  </si>
  <si>
    <t>Elapsed time from final payroll approval to posted Business Central payroll accounting entries.</t>
  </si>
  <si>
    <t>Case ID, employee/payroll period, process step ID, activity, event timestamp, actor/type, source system, SBU, exception/outcome</t>
  </si>
  <si>
    <t>Average(BC posting timestamp - final payroll approval timestamp)</t>
  </si>
  <si>
    <t>Rolling 6 payroll periods; refresh after each payroll milestone</t>
  </si>
  <si>
    <t>Verify required milestone events exist, timestamps are credible and case keys join device/HR/bank/BC data</t>
  </si>
  <si>
    <t>Missing event/time/case ID; unjoinable systems; retrospective manual-only timestamps</t>
  </si>
  <si>
    <t>Without this, cycle-time, variants, STP and human-dependency metrics are not management-grade</t>
  </si>
  <si>
    <t>HR ISV approval + BC posting</t>
  </si>
  <si>
    <t>Shows finance handoff latency.</t>
  </si>
  <si>
    <t>Certified/approved BOM; effective dates; version/change control; segregation from production posting</t>
  </si>
  <si>
    <t>Reduce within posting governance</t>
  </si>
  <si>
    <t>BOM master completeness</t>
  </si>
  <si>
    <t>BOM version, components, quantities, approval/certification, effective dates</t>
  </si>
  <si>
    <t>M-A2P-37</t>
  </si>
  <si>
    <t>Production BRD + Microsoft BC Manufacturing Setup</t>
  </si>
  <si>
    <t>Payroll-to-GL Reconciliation Rate</t>
  </si>
  <si>
    <t>https://learn.microsoft.com/en-us/dynamics365/business-central/production-configure-production-processes</t>
  </si>
  <si>
    <t>Share of payroll runs whose approved payroll, bank payment and Business Central accounting totals reconcile within approved rules.</t>
  </si>
  <si>
    <t>Fully reconciled payroll runs / payroll runs posted</t>
  </si>
  <si>
    <t>Fully reconciled runs</t>
  </si>
  <si>
    <t>Payroll runs posted</t>
  </si>
  <si>
    <t>HR ISV + bank + Business Central</t>
  </si>
  <si>
    <t>Core payroll-finance integrity measure.</t>
  </si>
  <si>
    <t>Increase toward 100% with documented timing differences</t>
  </si>
  <si>
    <t>M-A2P-38</t>
  </si>
  <si>
    <t>Post-Payroll Correction Rate</t>
  </si>
  <si>
    <t>Exception / Quality</t>
  </si>
  <si>
    <t>Share of finalized payroll employees/runs requiring approved correction, reversal or off-cycle adjustment due to a payroll defect or late source change.</t>
  </si>
  <si>
    <t>Affected finalized payroll cases / finalized payroll cases</t>
  </si>
  <si>
    <t>Post-payroll corrected cases</t>
  </si>
  <si>
    <t>Finalized payroll cases</t>
  </si>
  <si>
    <t>Reason / source / SBU / period</t>
  </si>
  <si>
    <t>Payroll adjustment + BC reversal/adjustment history</t>
  </si>
  <si>
    <t>Measures residual payroll error and late-change burden.</t>
  </si>
  <si>
    <t>Reduce preventable corrections</t>
  </si>
  <si>
    <t>M-A2P-39</t>
  </si>
  <si>
    <t>Human Touches per Payroll Case</t>
  </si>
  <si>
    <t>EV-A2P-28</t>
  </si>
  <si>
    <t>Count of distinct human data-entry, correction, coordination, review, approval or reconciliation actions attributable to payroll processing.</t>
  </si>
  <si>
    <t>Human action events / payroll cases or employees</t>
  </si>
  <si>
    <t>Human-action classification plus sampled time study across attendance and payroll roles</t>
  </si>
  <si>
    <t>Payroll cases/employees</t>
  </si>
  <si>
    <t>L5/L6 step, role, action type, manual/system/automation classification, active time, frequency, exception/control classification</t>
  </si>
  <si>
    <t>Touches / case or employee</t>
  </si>
  <si>
    <t>Representative 2-4 weeks and one full payroll cycle</t>
  </si>
  <si>
    <t>Process step / role / SBU</t>
  </si>
  <si>
    <t>Reconcile observed spreadsheet/email/phone/offline actions to workflow/audit logs and separate mandatory control from avoidable rework</t>
  </si>
  <si>
    <t>Workflow/audit logs + observed offline actions</t>
  </si>
  <si>
    <t>Unmeasured offline work; approvals mixed with rework; no time baseline</t>
  </si>
  <si>
    <t>Quantifies manual dependency while preserving required controls.</t>
  </si>
  <si>
    <t>Required before Human Touches/Minutes/STP metrics are decision-grade</t>
  </si>
  <si>
    <t>Reduce avoidable touches; retain mandatory approvals</t>
  </si>
  <si>
    <t>Requires action classification</t>
  </si>
  <si>
    <t>M-A2P-40</t>
  </si>
  <si>
    <t>Human Minutes per Payroll Employee</t>
  </si>
  <si>
    <t>P2P-005</t>
  </si>
  <si>
    <t>Measured or estimated active human processing time across attendance correction, payroll preparation, review, payment and reconciliation.</t>
  </si>
  <si>
    <t>Routing</t>
  </si>
  <si>
    <t>Total active human minutes / payroll employees</t>
  </si>
  <si>
    <t>Validate production route</t>
  </si>
  <si>
    <t>Maintain ordered operations, work/machine centers, setup/run/wait/move times and routing versions for each manufactured item/variant.</t>
  </si>
  <si>
    <t>Business Central Routings</t>
  </si>
  <si>
    <t>Production Engineering</t>
  </si>
  <si>
    <t>Minutes / employee</t>
  </si>
  <si>
    <t>Role / process step / SBU</t>
  </si>
  <si>
    <t>Time study + workflow/audit logs</t>
  </si>
  <si>
    <t>Approved routing; effective dates; operation sequence; valid resource assignment</t>
  </si>
  <si>
    <t>Routing master completeness</t>
  </si>
  <si>
    <t>Supports productivity baseline and benefit realization.</t>
  </si>
  <si>
    <t>Routing version, operation numbers, centers, times, approval/certification</t>
  </si>
  <si>
    <t>Microsoft BC Manufacturing Setup</t>
  </si>
  <si>
    <t>M-A2P-41</t>
  </si>
  <si>
    <t>Straight-Through Payroll Rate</t>
  </si>
  <si>
    <t>P2P-006</t>
  </si>
  <si>
    <t>Production / QC</t>
  </si>
  <si>
    <t>Product &amp; Quality Specification</t>
  </si>
  <si>
    <t>Share of eligible standard payroll cases processed from certified attendance/input readiness through calculation, payment and posting without unplanned manual exception intervention beyond mandatory approvals.</t>
  </si>
  <si>
    <t>Maintain grade/specification standards</t>
  </si>
  <si>
    <t>Eligible cases with no unplanned intervention / eligible standard payroll cases</t>
  </si>
  <si>
    <t>Maintain product grade/category, chemistry or formulation targets, dimensional/mechanical tolerances, test requirements and applicable quality standards.</t>
  </si>
  <si>
    <t>Straight-through cases</t>
  </si>
  <si>
    <t>Quality Management + Item/Specification Master</t>
  </si>
  <si>
    <t>Approved quality specification</t>
  </si>
  <si>
    <t>Quality / R&amp;D / Authorized Master Data</t>
  </si>
  <si>
    <t>Employee / SBU / period</t>
  </si>
  <si>
    <t>Versioned standards; effective dates; instrument/test mapping; independent approval</t>
  </si>
  <si>
    <t>Primary automation outcome while recognizing payroll approval controls.</t>
  </si>
  <si>
    <t>Quality specification completeness</t>
  </si>
  <si>
    <t>Increase where rules/data are reliable; not by bypassing controls</t>
  </si>
  <si>
    <t>Grade, target limits, test plan, standard, version, approval</t>
  </si>
  <si>
    <t>Production Module Data Record - AIL</t>
  </si>
  <si>
    <t>M-A2P-42</t>
  </si>
  <si>
    <t>A2P Digital Process Adoption</t>
  </si>
  <si>
    <t>Share of eligible attendance-to-payroll cases executed through the approved digital process without uncontrolled spreadsheet, paper, email or offline bypass for governed steps.</t>
  </si>
  <si>
    <t>Approved digital cases / eligible cases</t>
  </si>
  <si>
    <t>EV-A2P-29</t>
  </si>
  <si>
    <t>Process step / SBU / period</t>
  </si>
  <si>
    <t>System logs + controlled bypass register</t>
  </si>
  <si>
    <t>Separates system availability from actual adoption.</t>
  </si>
  <si>
    <t>Approved baseline-vs-post-change payroll KPI and benefit pack</t>
  </si>
  <si>
    <t>HR Process Owner / Finance / Transformation Office</t>
  </si>
  <si>
    <t>Baseline/post period, normalized headcount/scope, accuracy, cycle time, human minutes, payment/posting outcomes, cost, adoption, control results, assumptions</t>
  </si>
  <si>
    <t>M-A2P-43</t>
  </si>
  <si>
    <t>Payroll SoD Compliance</t>
  </si>
  <si>
    <t>Risk / Control</t>
  </si>
  <si>
    <t>Verify comparable population/scope, attributable change, no control degradation and HR/Finance sign-off</t>
  </si>
  <si>
    <t>Share of tested payroll runs/actions complying with approved separation among preparation, approval, payment authorization and finance posting roles.</t>
  </si>
  <si>
    <t>Claimed savings without baseline; headcount/scope distortion; weaker accuracy/control; adoption not sustained</t>
  </si>
  <si>
    <t>Compliant tested actions/runs / tested actions/runs</t>
  </si>
  <si>
    <t>Only E5 should be treated as verified realized A2P transformation value</t>
  </si>
  <si>
    <t>Compliant tests</t>
  </si>
  <si>
    <t>Tests performed</t>
  </si>
  <si>
    <t>Role / company / period</t>
  </si>
  <si>
    <t>HR ISV + BC + bank authorization logs</t>
  </si>
  <si>
    <t>Executive control-readiness indicator.</t>
  </si>
  <si>
    <t>100% for defined critical SoD tests</t>
  </si>
  <si>
    <t>M-A2P-44</t>
  </si>
  <si>
    <t>Realized Payroll Hours Saved</t>
  </si>
  <si>
    <t>Verified reduction in human processing effort attributable to an implemented attendance/payroll transformation.</t>
  </si>
  <si>
    <t>P2P-007</t>
  </si>
  <si>
    <t>(Baseline human minutes per employee - post-change minutes per employee) x actual payroll volume / 60</t>
  </si>
  <si>
    <t>Capacity &amp; Scheduling</t>
  </si>
  <si>
    <t>Work/Machine Center Readiness</t>
  </si>
  <si>
    <t>Maintain production resources</t>
  </si>
  <si>
    <t>Maintain work centers, machine centers, calendars, capacity, efficiency, costs and constrained-resource settings used for scheduling.</t>
  </si>
  <si>
    <t>Business Central Work/Machine Centers</t>
  </si>
  <si>
    <t>Converts digitization/automation into realized productivity.</t>
  </si>
  <si>
    <t>M-P2P-01</t>
  </si>
  <si>
    <t>Production Planner / Engineering</t>
  </si>
  <si>
    <t>Plan-to-Produce End-to-End Cycle Time</t>
  </si>
  <si>
    <t>M-A2P-45</t>
  </si>
  <si>
    <t>Configured capacity model</t>
  </si>
  <si>
    <t>Payroll Processing Cost per Employee</t>
  </si>
  <si>
    <t>Elapsed time from approved production demand/plan release to accepted finished-goods receipt and production-order completion.</t>
  </si>
  <si>
    <t>Approved calendars/capacity; effective maintenance windows; valid cost/resource assignment</t>
  </si>
  <si>
    <t>Average(FG accepted/production complete timestamp - approved plan/demand timestamp)</t>
  </si>
  <si>
    <t>Capacity master readiness</t>
  </si>
  <si>
    <t>Normalized HR/payroll processing cost for the attendance-to-payroll cycle per payroll employee, using an approved cost model.</t>
  </si>
  <si>
    <t>Calendar, capacity, efficiency, machine/work center, cost and availability</t>
  </si>
  <si>
    <t>Microsoft BC Work/Machine Centers</t>
  </si>
  <si>
    <t>Approved attributable A2P processing cost / payroll employees</t>
  </si>
  <si>
    <t>https://learn.microsoft.com/en-us/dynamics365/business-central/production-how-to-set-up-work-and-machine-centers</t>
  </si>
  <si>
    <t>Approved attributable processing cost</t>
  </si>
  <si>
    <t>Production order / product / SBU</t>
  </si>
  <si>
    <t>Planning + production + inventory events</t>
  </si>
  <si>
    <t>BDT / employee</t>
  </si>
  <si>
    <t>Primary end-to-end manufacturing responsiveness measure.</t>
  </si>
  <si>
    <t>Reduce vs verified baseline while maintaining quality/safety</t>
  </si>
  <si>
    <t>Time-cost model + HR/Finance data</t>
  </si>
  <si>
    <t>Tracks financial efficiency without confusing cost reduction with control reduction.</t>
  </si>
  <si>
    <t>M-P2P-02</t>
  </si>
  <si>
    <t>Reduce vs normalized baseline where service/control outcomes are maintained</t>
  </si>
  <si>
    <t>Demand-to-Plan Conversion Rate</t>
  </si>
  <si>
    <t>Planning</t>
  </si>
  <si>
    <t>Cost model requires validation</t>
  </si>
  <si>
    <t>Share of eligible production demand represented in an approved production plan/order without off-system omission.</t>
  </si>
  <si>
    <t>Demand qty covered by approved production plan / eligible production demand qty</t>
  </si>
  <si>
    <t>Demand qty covered by plan</t>
  </si>
  <si>
    <t>Eligible production demand qty</t>
  </si>
  <si>
    <t>Product / SBU / period</t>
  </si>
  <si>
    <t>Sales/forecast demand + BC planning</t>
  </si>
  <si>
    <t>Shows whether production planning reflects the true demand picture.</t>
  </si>
  <si>
    <t>Increase toward approved coverage policy</t>
  </si>
  <si>
    <t>M-P2P-03</t>
  </si>
  <si>
    <t>Planning Recommendation Acceptance Rate</t>
  </si>
  <si>
    <t>Automation / Planning</t>
  </si>
  <si>
    <t>Share of system planning recommendations accepted without material manual quantity/date change.</t>
  </si>
  <si>
    <t>Accepted recommendations / actionable recommendations</t>
  </si>
  <si>
    <t>Accepted recommendations</t>
  </si>
  <si>
    <t>Actionable recommendations</t>
  </si>
  <si>
    <t>Planner / item / SBU</t>
  </si>
  <si>
    <t>BC planning worksheet/action messages</t>
  </si>
  <si>
    <t>Indicates planning-parameter quality and readiness for higher automation.</t>
  </si>
  <si>
    <t>Increase where planning inputs are stable</t>
  </si>
  <si>
    <t>M-P2P-04</t>
  </si>
  <si>
    <t>Production Plan Approval Cycle Time</t>
  </si>
  <si>
    <t>Elapsed time from plan submission to approved/committed production plan.</t>
  </si>
  <si>
    <t>Average(approval timestamp - submission timestamp)</t>
  </si>
  <si>
    <t>Plan / SBU</t>
  </si>
  <si>
    <t>Planning approval/version history</t>
  </si>
  <si>
    <t>Shows planning-governance delay before execution.</t>
  </si>
  <si>
    <t>M-P2P-05</t>
  </si>
  <si>
    <t>BOM Master Completeness</t>
  </si>
  <si>
    <t>Master Data</t>
  </si>
  <si>
    <t>Share of active manufactured items with approved/certified BOM or recipe, effective version and complete component data.</t>
  </si>
  <si>
    <t>Active manufactured items with complete approved BOM / active manufactured items</t>
  </si>
  <si>
    <t>Complete approved BOM items</t>
  </si>
  <si>
    <t>Active manufactured items</t>
  </si>
  <si>
    <t>Item / SBU</t>
  </si>
  <si>
    <t>BC Production BOM / recipe master</t>
  </si>
  <si>
    <t>Foundation measure for reliable planning and consumption.</t>
  </si>
  <si>
    <t>Increase toward 100% for active manufactured items</t>
  </si>
  <si>
    <t>P2P-008</t>
  </si>
  <si>
    <t>M-P2P-06</t>
  </si>
  <si>
    <t>Routing Master Completeness</t>
  </si>
  <si>
    <t>Load &amp; Capacity Review</t>
  </si>
  <si>
    <t>Review planned load</t>
  </si>
  <si>
    <t>Share of active manufactured items with approved routing covering required operations and valid resources.</t>
  </si>
  <si>
    <t>Compare planned/released operation load against available work/machine-center capacity and identify overload or idle capacity.</t>
  </si>
  <si>
    <t>Items with complete approved routing / active manufactured items requiring routing</t>
  </si>
  <si>
    <t>Business Central Capacity / Load</t>
  </si>
  <si>
    <t>Complete approved routing items</t>
  </si>
  <si>
    <t>Items requiring routing</t>
  </si>
  <si>
    <t>BC routings</t>
  </si>
  <si>
    <t>Foundation measure for scheduling, capacity and shop-floor traceability.</t>
  </si>
  <si>
    <t>Current calendar/capacity basis; overload exception recorded; no hidden off-system capacity</t>
  </si>
  <si>
    <t>Increase toward 100% where routing is required</t>
  </si>
  <si>
    <t>Capacity utilization / overload rate</t>
  </si>
  <si>
    <t>Center capacity, load, scheduled operations, overload periods</t>
  </si>
  <si>
    <t>M-P2P-07</t>
  </si>
  <si>
    <t>Microsoft BC Capacity Planning</t>
  </si>
  <si>
    <t>Quality Specification Completeness</t>
  </si>
  <si>
    <t>Master Data / Quality</t>
  </si>
  <si>
    <t>https://learn.microsoft.com/en-us/dynamics365/business-central/production-how-to-view-the-load-on-work-centers</t>
  </si>
  <si>
    <t>Share of active products/grades with approved quality limits, test plan and effective specification.</t>
  </si>
  <si>
    <t>Products with complete approved quality specification / active products requiring QC</t>
  </si>
  <si>
    <t>Complete quality-spec products</t>
  </si>
  <si>
    <t>Active products requiring QC</t>
  </si>
  <si>
    <t>Product / grade / SBU</t>
  </si>
  <si>
    <t>Quality/specification master</t>
  </si>
  <si>
    <t>Precondition for deterministic QC and controlled release.</t>
  </si>
  <si>
    <t>M-P2P-08</t>
  </si>
  <si>
    <t>Capacity Master Readiness</t>
  </si>
  <si>
    <t>Master Data / Capacity</t>
  </si>
  <si>
    <t>Share of active work/machine centers with valid calendar, capacity, efficiency and required cost/resource settings.</t>
  </si>
  <si>
    <t>Ready centers / active centers</t>
  </si>
  <si>
    <t>Ready centers</t>
  </si>
  <si>
    <t>Active centers</t>
  </si>
  <si>
    <t>Center / plant</t>
  </si>
  <si>
    <t>BC work/machine center master</t>
  </si>
  <si>
    <t>Determines whether scheduling and capacity metrics can be trusted.</t>
  </si>
  <si>
    <t>M-P2P-09</t>
  </si>
  <si>
    <t>Capacity Utilization</t>
  </si>
  <si>
    <t>Efficiency / Capacity</t>
  </si>
  <si>
    <t>Scheduled/actual productive load relative to available practical capacity for comparable centers.</t>
  </si>
  <si>
    <t>Productive load hours / available practical capacity hours</t>
  </si>
  <si>
    <t>Productive load hours</t>
  </si>
  <si>
    <t>Available capacity hours</t>
  </si>
  <si>
    <t>Work/machine center / shift / period</t>
  </si>
  <si>
    <t>BC capacity/load + actual output time</t>
  </si>
  <si>
    <t>Supports capacity balancing and bottleneck analysis.</t>
  </si>
  <si>
    <t>Optimize by center; not simply maximize</t>
  </si>
  <si>
    <t>M-P2P-10</t>
  </si>
  <si>
    <t>Capacity Overload Rate</t>
  </si>
  <si>
    <t>Share of scheduled center-periods where planned load exceeds available approved capacity.</t>
  </si>
  <si>
    <t>Overloaded center-periods / scheduled center-periods</t>
  </si>
  <si>
    <t>Overloaded periods</t>
  </si>
  <si>
    <t>Scheduled center-periods</t>
  </si>
  <si>
    <t>Center / day / shift</t>
  </si>
  <si>
    <t>BC capacity planning</t>
  </si>
  <si>
    <t>Shows infeasible schedules and capacity-planning quality.</t>
  </si>
  <si>
    <t>Reduce avoidable overload</t>
  </si>
  <si>
    <t>M-P2P-11</t>
  </si>
  <si>
    <t>Schedule Adherence</t>
  </si>
  <si>
    <t>Share of operations/orders starting and finishing within approved scheduling tolerance.</t>
  </si>
  <si>
    <t>Operations/orders within tolerance / completed scheduled operations/orders</t>
  </si>
  <si>
    <t>Within-tolerance operations/orders</t>
  </si>
  <si>
    <t>Completed scheduled operations/orders</t>
  </si>
  <si>
    <t>Order / operation / plant</t>
  </si>
  <si>
    <t>Planned vs actual production events</t>
  </si>
  <si>
    <t>Primary production execution reliability indicator.</t>
  </si>
  <si>
    <t>P2P-009</t>
  </si>
  <si>
    <t>M-P2P-12</t>
  </si>
  <si>
    <t>Production Order Auto-Generation Rate</t>
  </si>
  <si>
    <t>Operation Scheduling</t>
  </si>
  <si>
    <t>Share of eligible production orders generated from approved planning/demand without manual re-keying.</t>
  </si>
  <si>
    <t>Schedule production operations</t>
  </si>
  <si>
    <t>Auto-generated eligible orders / eligible production orders</t>
  </si>
  <si>
    <t>Auto-generated orders</t>
  </si>
  <si>
    <t>Schedule production order routing operations against work/machine centers using due date, operation sequence, capacity and queue/setup/run times.</t>
  </si>
  <si>
    <t>Eligible production orders</t>
  </si>
  <si>
    <t>Business Central Production Scheduling</t>
  </si>
  <si>
    <t>SBU / item / period</t>
  </si>
  <si>
    <t>BC production order creation source</t>
  </si>
  <si>
    <t>Scheduling engine + human exception handling</t>
  </si>
  <si>
    <t>Measures planning-to-execution automation.</t>
  </si>
  <si>
    <t>Increase for standard production demand</t>
  </si>
  <si>
    <t>M-P2P-13</t>
  </si>
  <si>
    <t>No operation overlap beyond valid concurrency; constrained-resource rules respected; reschedule reason retained</t>
  </si>
  <si>
    <t>Production Order Readiness Pass Rate</t>
  </si>
  <si>
    <t>Schedule adherence</t>
  </si>
  <si>
    <t>Planned start/end, actual start/end, center, reschedule reason</t>
  </si>
  <si>
    <t>Share of production orders passing BOM, routing, resource, quantity and required-data checks at first review.</t>
  </si>
  <si>
    <t>Microsoft BC Production Orders / Capacity</t>
  </si>
  <si>
    <t>Orders passing first readiness check / orders checked</t>
  </si>
  <si>
    <t>First-pass ready orders</t>
  </si>
  <si>
    <t>Orders checked</t>
  </si>
  <si>
    <t>Item / SBU / reason</t>
  </si>
  <si>
    <t>BC production order + validation logs</t>
  </si>
  <si>
    <t>Shows upstream master-data and planning quality.</t>
  </si>
  <si>
    <t>EV-P2P-01</t>
  </si>
  <si>
    <t>Entire P2P design baseline</t>
  </si>
  <si>
    <t>M-P2P-14</t>
  </si>
  <si>
    <t>Approved production BRD/SDD, process maps, production master-data design, QC design and organization variants</t>
  </si>
  <si>
    <t>Material Availability Pass Rate</t>
  </si>
  <si>
    <t>Production / AESL / Process Owner</t>
  </si>
  <si>
    <t>Material Readiness</t>
  </si>
  <si>
    <t>Scope, process stages, actors, master data, rules, controls, integrations, variants, target behavior</t>
  </si>
  <si>
    <t>Share of released/ready orders with sufficient eligible component availability for planned production.</t>
  </si>
  <si>
    <t>Orders/lines with sufficient components / orders/lines checked</t>
  </si>
  <si>
    <t>Map every P2P L4-L6 step to approved requirement/process evidence and identify unsupported assumptions</t>
  </si>
  <si>
    <t>Draft/conflicting process; missing organization variant; unclear owner/control</t>
  </si>
  <si>
    <t>Proves intended process only, not live manufacturing maturity</t>
  </si>
  <si>
    <t>Orders/lines sufficiently covered</t>
  </si>
  <si>
    <t>Orders/lines checked</t>
  </si>
  <si>
    <t>Item / component / location / SBU</t>
  </si>
  <si>
    <t>BC production components + inventory availability</t>
  </si>
  <si>
    <t>Connects inventory readiness to production performance.</t>
  </si>
  <si>
    <t>Increase; segment shortage causes</t>
  </si>
  <si>
    <t>M-P2P-15</t>
  </si>
  <si>
    <t>Production Material Reservation Coverage</t>
  </si>
  <si>
    <t>Automation / Material Readiness</t>
  </si>
  <si>
    <t>Share of policy-eligible component demand properly reserved to production orders before execution.</t>
  </si>
  <si>
    <t>Reserved eligible component qty / eligible component qty</t>
  </si>
  <si>
    <t>Reserved component qty</t>
  </si>
  <si>
    <t>Eligible component qty</t>
  </si>
  <si>
    <t>Order / component / location</t>
  </si>
  <si>
    <t>Measures allocation discipline and double-allocation risk.</t>
  </si>
  <si>
    <t>Increase where reservation is required</t>
  </si>
  <si>
    <t>M-P2P-16</t>
  </si>
  <si>
    <t>Order Release Readiness Pass Rate</t>
  </si>
  <si>
    <t>Share of production orders released without approved readiness exception.</t>
  </si>
  <si>
    <t>Orders released with all required readiness checks passed / released orders</t>
  </si>
  <si>
    <t>Clean releases</t>
  </si>
  <si>
    <t>Released orders</t>
  </si>
  <si>
    <t>Plant / item / reason</t>
  </si>
  <si>
    <t>Calibration ID</t>
  </si>
  <si>
    <t>Release status + readiness checks</t>
  </si>
  <si>
    <t>Shows whether production starts under controlled conditions.</t>
  </si>
  <si>
    <t>P2P-010</t>
  </si>
  <si>
    <t>Increase toward 100% excluding governed exceptions</t>
  </si>
  <si>
    <t>Process Segment</t>
  </si>
  <si>
    <t>M-P2P-17</t>
  </si>
  <si>
    <t>Production Order Management</t>
  </si>
  <si>
    <t>Material Staging Cycle Time</t>
  </si>
  <si>
    <t>Process Step IDs</t>
  </si>
  <si>
    <t>Production Order Creation</t>
  </si>
  <si>
    <t>Create production order</t>
  </si>
  <si>
    <t>Elapsed time from released production order/material request to completed required component staging.</t>
  </si>
  <si>
    <t>Create firm planned/released production order from approved demand with item, quantity, due date, BOM, routing and location references.</t>
  </si>
  <si>
    <t>EV-P2P-02</t>
  </si>
  <si>
    <t>Average(staging complete - material-ready/request timestamp)</t>
  </si>
  <si>
    <t>Business Central Production Orders</t>
  </si>
  <si>
    <t>Demand / production plan</t>
  </si>
  <si>
    <t>Confidence</t>
  </si>
  <si>
    <t>Planner / System</t>
  </si>
  <si>
    <t>Evidence Basis</t>
  </si>
  <si>
    <t>System generation + human review</t>
  </si>
  <si>
    <t>Production demand, planning worksheet/action messages, approved plan and production-order creation source</t>
  </si>
  <si>
    <t>Supporting Evidence</t>
  </si>
  <si>
    <t>Planning / Business Central</t>
  </si>
  <si>
    <t>Observed Gap / Blocker</t>
  </si>
  <si>
    <t>Order / warehouse / plant</t>
  </si>
  <si>
    <t>Live Evidence Required</t>
  </si>
  <si>
    <t>Demand source, item, quantity, due date, inventory basis, action message, planner decision, approval, production-order reference</t>
  </si>
  <si>
    <t>Warehouse/production pick and movement events</t>
  </si>
  <si>
    <t>Trace to source demand; valid BOM/routing; no duplicate order; approved quantity/due date</t>
  </si>
  <si>
    <t>Promotion Gate</t>
  </si>
  <si>
    <t>Identifies warehouse-to-production delay.</t>
  </si>
  <si>
    <t>8-12 weeks across representative product families/SBUs</t>
  </si>
  <si>
    <t>Production order auto-generation rate</t>
  </si>
  <si>
    <t>Recommended Target</t>
  </si>
  <si>
    <t>Trace demand through planning recommendation to approved order and sample rejected/changed recommendations</t>
  </si>
  <si>
    <t>Prod. order, source demand, item, qty, due date, BOM/routing, created by/time</t>
  </si>
  <si>
    <t>Spreadsheet-only plan; no source reference; unexplained manual quantity/date change</t>
  </si>
  <si>
    <t>Microsoft BC Production Orders</t>
  </si>
  <si>
    <t>M-P2P-18</t>
  </si>
  <si>
    <t>Last Reviewed</t>
  </si>
  <si>
    <t>Establishes actual planning digitization and recommendation quality</t>
  </si>
  <si>
    <t>Material Consumption Variance</t>
  </si>
  <si>
    <t>Yield / Cost</t>
  </si>
  <si>
    <t>CAL-O2C-01</t>
  </si>
  <si>
    <t>Difference between expected BOM consumption and actual posted consumption for comparable output.</t>
  </si>
  <si>
    <t>Customer onboarding, ERP creation &amp; approval</t>
  </si>
  <si>
    <t>(Actual consumption - expected consumption for actual output) / expected consumption</t>
  </si>
  <si>
    <t>P2P-011</t>
  </si>
  <si>
    <t>O2C-001:003</t>
  </si>
  <si>
    <t>Actual minus expected consumption</t>
  </si>
  <si>
    <t>S1-S2</t>
  </si>
  <si>
    <t>Expected consumption</t>
  </si>
  <si>
    <t>% / quantity</t>
  </si>
  <si>
    <t>Production Order Refresh &amp; Validation</t>
  </si>
  <si>
    <t>Refresh components/routing</t>
  </si>
  <si>
    <t>Order / component / item</t>
  </si>
  <si>
    <t>Sales Eco/BC design and active QA evidence support a governed digital flow, but not sustained production use.</t>
  </si>
  <si>
    <t>BC production components/consumption/output</t>
  </si>
  <si>
    <t>Refresh production order to current approved BOM/routing and validate components, operations, flushing methods and output method before release.</t>
  </si>
  <si>
    <t>BSES-1331 QA In Review; Sales Eco↔BC solution design</t>
  </si>
  <si>
    <t>Business Central Production Order</t>
  </si>
  <si>
    <t>Core material-efficiency and costing control.</t>
  </si>
  <si>
    <t>Production creation success, approval throughput, duplicate/error and unblock behavior not sampled.</t>
  </si>
  <si>
    <t>Reduce unexplained adverse variance</t>
  </si>
  <si>
    <t>Planner / Production Controller</t>
  </si>
  <si>
    <t>M-P2P-19</t>
  </si>
  <si>
    <t>Customer-create API logs; BC customer status history; approval entries; error/retry logs; 30-day sample.</t>
  </si>
  <si>
    <t>Critical Parameter Digital Capture Rate</t>
  </si>
  <si>
    <t>Approved master-data version; change impact visible; no silent refresh after execution starts</t>
  </si>
  <si>
    <t>Digital Adoption / Control</t>
  </si>
  <si>
    <t>E3 only after real production customers traverse create→approve/reject with traceable events; E4 requires cycle/adoption/error metrics.</t>
  </si>
  <si>
    <t>Production order readiness pass rate</t>
  </si>
  <si>
    <t>Share of required critical process-parameter observations captured digitally with time/source/instrument identity.</t>
  </si>
  <si>
    <t>Order version, components, routing, warnings/errors, refresh timestamp</t>
  </si>
  <si>
    <t>Digitally captured required parameter observations / required observations</t>
  </si>
  <si>
    <t>Provisional evidence review complete; live execution pending</t>
  </si>
  <si>
    <t>Digitally captured observations</t>
  </si>
  <si>
    <t>Required observations</t>
  </si>
  <si>
    <t>CAL-O2C-02</t>
  </si>
  <si>
    <t>Operation / parameter / plant</t>
  </si>
  <si>
    <t>P2P-012</t>
  </si>
  <si>
    <t>Pricing &amp; discount governance</t>
  </si>
  <si>
    <t>Shop-floor device/app/lab events</t>
  </si>
  <si>
    <t>Inventory / Production</t>
  </si>
  <si>
    <t>O2C-004,O2C-008</t>
  </si>
  <si>
    <t>Key readiness measure for process analytics, quality and future AI.</t>
  </si>
  <si>
    <t>Increase toward 100% for designated critical parameters</t>
  </si>
  <si>
    <t>Material Availability Check</t>
  </si>
  <si>
    <t>M-P2P-20</t>
  </si>
  <si>
    <t>Validate component availability</t>
  </si>
  <si>
    <t>WIP Visibility Coverage</t>
  </si>
  <si>
    <t>Primary Sales design defines governed pricing, effective dates and exception approval.</t>
  </si>
  <si>
    <t>Pending production planning sample</t>
  </si>
  <si>
    <t>Check on-hand, reserved, available and expected component quantities by location before production release.</t>
  </si>
  <si>
    <t>Primary Sales updated SDD/process mapping</t>
  </si>
  <si>
    <t>EV-P2P-03</t>
  </si>
  <si>
    <t>Share of active production orders/operations with current digitally traceable WIP quantity/status.</t>
  </si>
  <si>
    <t>Actual approval volume, overrides and off-system price handling are not evidenced.</t>
  </si>
  <si>
    <t>Production BOM / recipe</t>
  </si>
  <si>
    <t>Business Central Inventory + Production</t>
  </si>
  <si>
    <t>Price versions; approval logs; price source on orders; discount override events.</t>
  </si>
  <si>
    <t>Active orders/operations with current WIP status / active orders/operations</t>
  </si>
  <si>
    <t>Approved BOM/recipe versions and change history</t>
  </si>
  <si>
    <t>E3 requires live price/discount decisions; E4 requires approval-cycle and exception-rate measures.</t>
  </si>
  <si>
    <t>Digitally visible active WIP</t>
  </si>
  <si>
    <t>Production Planner / Inventory</t>
  </si>
  <si>
    <t>Production Engineering / Master Data</t>
  </si>
  <si>
    <t>Active WIP orders/operations</t>
  </si>
  <si>
    <t>Deterministic availability check</t>
  </si>
  <si>
    <t>Item/grade, version, components, qty/UOM, effective dates, approval/certification, changed by/time</t>
  </si>
  <si>
    <t>Plant / order / operation</t>
  </si>
  <si>
    <t>Current active master + 90-day change history</t>
  </si>
  <si>
    <t>Production output/progress events</t>
  </si>
  <si>
    <t>Shows whether management can see actual shop-floor progress.</t>
  </si>
  <si>
    <t>Sample active products and verify production orders reference valid approved versions</t>
  </si>
  <si>
    <t>Production evidence pending</t>
  </si>
  <si>
    <t>Unapproved BOM; outdated component qty; production order using wrong version</t>
  </si>
  <si>
    <t>Correct item/location/UOM; no negative availability; shortage exception owner</t>
  </si>
  <si>
    <t>M-P2P-21</t>
  </si>
  <si>
    <t>Foundation evidence for material planning/consumption integrity</t>
  </si>
  <si>
    <t>CAL-O2C-03</t>
  </si>
  <si>
    <t>Material availability pass rate</t>
  </si>
  <si>
    <t>In-Process QC Coverage</t>
  </si>
  <si>
    <t>Customer Order intake &amp; ERP Sales Order creation</t>
  </si>
  <si>
    <t>Component requirement, on-hand, reserved, available, shortage quantity, location</t>
  </si>
  <si>
    <t>Share of required in-process inspections created and completed at defined production checkpoints.</t>
  </si>
  <si>
    <t>Production BRD + Microsoft BC Manufacturing</t>
  </si>
  <si>
    <t>Completed required inspections / required inspections</t>
  </si>
  <si>
    <t>Completed required inspections</t>
  </si>
  <si>
    <t>Recent Jira shows active delivered/QA capability around Customer Order and status correction.</t>
  </si>
  <si>
    <t>Required inspections</t>
  </si>
  <si>
    <t>BSES-1336 QA In Review; BSES-1411 Done; BSES-2719 Done</t>
  </si>
  <si>
    <t>No verified production CO→SO conversion rate, cycle time, failures or human-touch count.</t>
  </si>
  <si>
    <t>Product / operation / plant</t>
  </si>
  <si>
    <t>CO submit; correlation ID; SO creation; user/system action events; retries/errors.</t>
  </si>
  <si>
    <t>Quality Management inspection events</t>
  </si>
  <si>
    <t>E3 requires successful live CO→SO chains; E4 requires STP, cycle-time and failure metrics.</t>
  </si>
  <si>
    <t>Assures process quality controls are actually executed.</t>
  </si>
  <si>
    <t>Live chain extraction pending</t>
  </si>
  <si>
    <t>CAL-O2C-04</t>
  </si>
  <si>
    <t>Credit eligibility &amp; exception approval</t>
  </si>
  <si>
    <t>O2C-006:007</t>
  </si>
  <si>
    <t>S1-S2 with S2 rule pockets</t>
  </si>
  <si>
    <t>Finance/ERP design specifies deterministic credit checks and governed exception approval.</t>
  </si>
  <si>
    <t>Finance SDD; Sales/Logistics design</t>
  </si>
  <si>
    <t>Consistent enforcement, auto-clear share and override reasons not measured.</t>
  </si>
  <si>
    <t>Credit limit; exposure; check result; approval event; override reason; approver/time.</t>
  </si>
  <si>
    <t>E3 requires production rule/approval events; E4 requires auto-clear, exception and cycle metrics.</t>
  </si>
  <si>
    <t>Rule execution evidence pending</t>
  </si>
  <si>
    <t>CAL-O2C-05</t>
  </si>
  <si>
    <t>O2C-009:010</t>
  </si>
  <si>
    <t>BC/logistics design defines availability, location and reservation controls.</t>
  </si>
  <si>
    <t>Logistics SDD + BC inventory design</t>
  </si>
  <si>
    <t>Availability-pass rate, reservation automation and manual allocation not measured.</t>
  </si>
  <si>
    <t>Availability snapshots; reservation create/release events; source location; overrides.</t>
  </si>
  <si>
    <t>E3 requires live availability/reservation events; E4 requires pass/automation metrics.</t>
  </si>
  <si>
    <t>M-P2P-22</t>
  </si>
  <si>
    <t>Inventory event extraction pending</t>
  </si>
  <si>
    <t>CAL-O2C-06</t>
  </si>
  <si>
    <t>QC First-Pass Yield</t>
  </si>
  <si>
    <t>SO→DO fulfilment planning &amp; loading preparation</t>
  </si>
  <si>
    <t>Pending master-data extract</t>
  </si>
  <si>
    <t>O2C-011:015</t>
  </si>
  <si>
    <t>Quality / Yield</t>
  </si>
  <si>
    <t>S1-S2 with delivered S2 components</t>
  </si>
  <si>
    <t>EV-P2P-04</t>
  </si>
  <si>
    <t>Share of inspected WIP/output passing required quality checks without rework, adjustment or repeat test.</t>
  </si>
  <si>
    <t>Routing / operations</t>
  </si>
  <si>
    <t>First-pass accepted inspected qty/cases / inspected qty/cases</t>
  </si>
  <si>
    <t>Jira shows optimization delivered, with performance and backlog-quantity items still open/in review.</t>
  </si>
  <si>
    <t>Approved routing versions and operation/resource assignments</t>
  </si>
  <si>
    <t>First-pass accepted qty/cases</t>
  </si>
  <si>
    <t>BSES-3057 Done; BSES-2941 In Review; BSES-2928 To Do; BSES-2923 Done</t>
  </si>
  <si>
    <t>Inspected qty/cases</t>
  </si>
  <si>
    <t>Feature completion does not prove SO→DO STP, partial fulfillment, source override or cycle performance.</t>
  </si>
  <si>
    <t>Item/variant, routing version, operation sequence, work/machine centers, times, effective dates, approval</t>
  </si>
  <si>
    <t>SO-ready event; DO creation; parent refs; backlog qty; source; loading advice; manual allocation actions.</t>
  </si>
  <si>
    <t>Product / operation / grade</t>
  </si>
  <si>
    <t>E3 requires real SO→DO→loading chains; E4 requires cycle/partial/manual-touch measures.</t>
  </si>
  <si>
    <t>Sample products and verify executed orders/operations follow approved routing or documented deviation</t>
  </si>
  <si>
    <t>Quality inspection/test results</t>
  </si>
  <si>
    <t>Missing operation; invalid resource; undocumented route bypass</t>
  </si>
  <si>
    <t>P2P-013</t>
  </si>
  <si>
    <t>Production chain metrics pending</t>
  </si>
  <si>
    <t>Primary production quality-efficiency indicator.</t>
  </si>
  <si>
    <t>Determines scheduling and process-traceability readiness</t>
  </si>
  <si>
    <t>CAL-O2C-07</t>
  </si>
  <si>
    <t>Component Reservation</t>
  </si>
  <si>
    <t>Loading, gate &amp; dispatch execution</t>
  </si>
  <si>
    <t>Reserve production material</t>
  </si>
  <si>
    <t>O2C-016:018</t>
  </si>
  <si>
    <t>Pending routing extract</t>
  </si>
  <si>
    <t>Reserve eligible components to production demand/order where policy requires and release/reallocate only through controlled events.</t>
  </si>
  <si>
    <t>M-P2P-23</t>
  </si>
  <si>
    <t>EV-P2P-05</t>
  </si>
  <si>
    <t>Business Central Reservation / Production Order Components</t>
  </si>
  <si>
    <t>Quality specification / test plan</t>
  </si>
  <si>
    <t>Quality Hold / Rejection Rate</t>
  </si>
  <si>
    <t>Detailed logistics target process exists, but direct production telemetry is not verified.</t>
  </si>
  <si>
    <t>Logistics SDD/PRD</t>
  </si>
  <si>
    <t>Inventory Planner / System</t>
  </si>
  <si>
    <t>Approved product/grade specifications, inspection templates and effective test limits</t>
  </si>
  <si>
    <t>Digital capture coverage for load, gate and dispatch and manual bypass is unknown.</t>
  </si>
  <si>
    <t>Share of inspected quantity/cases placed on hold, rework, downgrade or reject disposition.</t>
  </si>
  <si>
    <t>Quality / R&amp;D</t>
  </si>
  <si>
    <t>Deterministic reservation + exception handling</t>
  </si>
  <si>
    <t>Load confirmation; discrepancy; gate-in/out; dispatch; vehicle/driver; user/device timestamps.</t>
  </si>
  <si>
    <t>Product/grade, parameter/test, lower/upper limits, sampling requirement, standard/version, approval/effective date</t>
  </si>
  <si>
    <t>Held/rework/downgrade/rejected inspected qty / inspected qty</t>
  </si>
  <si>
    <t>E3 requires production execution records; E4 requires dwell/on-time/adoption metrics.</t>
  </si>
  <si>
    <t>Current active specs + 90-day changes</t>
  </si>
  <si>
    <t>Non-accepted inspected qty</t>
  </si>
  <si>
    <t>Trace sampled production inspections to the correct effective specification</t>
  </si>
  <si>
    <t>Inspected qty</t>
  </si>
  <si>
    <t>Field execution calibration required</t>
  </si>
  <si>
    <t>No duplicate allocation; reservation linked to production order; controlled release</t>
  </si>
  <si>
    <t>Free-text limits; outdated spec; test result not tied to version</t>
  </si>
  <si>
    <t>Production material reservation coverage</t>
  </si>
  <si>
    <t>Foundation for governed digital QC</t>
  </si>
  <si>
    <t>CAL-O2C-08</t>
  </si>
  <si>
    <t>Prod. order, component, qty, location, reservation create/release history</t>
  </si>
  <si>
    <t>POD &amp; delivery exception handling</t>
  </si>
  <si>
    <t>Reason / product / plant</t>
  </si>
  <si>
    <t>Quality disposition records</t>
  </si>
  <si>
    <t>O2C-019:020</t>
  </si>
  <si>
    <t>Quantifies quality loss and exception workload.</t>
  </si>
  <si>
    <t>Reduce preventable quality loss</t>
  </si>
  <si>
    <t>P2P-014</t>
  </si>
  <si>
    <t>Production / Inventory</t>
  </si>
  <si>
    <t>Logistics design defines POD and exception evidence, but live capture is unverified.</t>
  </si>
  <si>
    <t>M-P2P-24</t>
  </si>
  <si>
    <t>Output Reporting Timeliness</t>
  </si>
  <si>
    <t>Production Order Release</t>
  </si>
  <si>
    <t>POD completeness and shortage/damage/rejection handling are unknown.</t>
  </si>
  <si>
    <t>Process Performance / Data Quality</t>
  </si>
  <si>
    <t>Release order to shop floor</t>
  </si>
  <si>
    <t>Elapsed time from physical operation/output completion to digital posting/reporting.</t>
  </si>
  <si>
    <t>Release only when required BOM/routing, materials, resource/schedule and mandatory control conditions are satisfied or approved exceptions exist.</t>
  </si>
  <si>
    <t>POD; recipient/time; delivered qty; exception code; return/recovery action; undelivered balance.</t>
  </si>
  <si>
    <t>Average(posting timestamp - physical completion timestamp)</t>
  </si>
  <si>
    <t>Business Central Released Production Order</t>
  </si>
  <si>
    <t>E3 requires live POD/exception events; E4 requires capture and exception-rate metrics.</t>
  </si>
  <si>
    <t>Production Controller / Manager</t>
  </si>
  <si>
    <t>System validation + human release</t>
  </si>
  <si>
    <t>Production POD sample pending</t>
  </si>
  <si>
    <t>Shop-floor event + BC output journal</t>
  </si>
  <si>
    <t>Shows whether ERP status is close to physical reality.</t>
  </si>
  <si>
    <t>CAL-O2C-09</t>
  </si>
  <si>
    <t>Release authority; readiness checks; exception approval; audit history</t>
  </si>
  <si>
    <t>Invoice generation &amp; validation</t>
  </si>
  <si>
    <t>Order release readiness pass rate</t>
  </si>
  <si>
    <t>Reduce; near-real-time for critical stages</t>
  </si>
  <si>
    <t>O2C-021:022</t>
  </si>
  <si>
    <t>Order status history, readiness checks, release user/time, exceptions</t>
  </si>
  <si>
    <t>M-P2P-25</t>
  </si>
  <si>
    <t>Scrap / Loss Rate</t>
  </si>
  <si>
    <t>Production loss quantity relative to total material input or gross output basis defined for the process.</t>
  </si>
  <si>
    <t>P2P-015</t>
  </si>
  <si>
    <t>BC finance design supports posting; invoice synchronization remains under QA.</t>
  </si>
  <si>
    <t>Approved loss qty / approved input or gross-output basis</t>
  </si>
  <si>
    <t>Inventory / Warehouse / Production</t>
  </si>
  <si>
    <t>BSES-1538 QA In Review; Finance SDD</t>
  </si>
  <si>
    <t>Approved loss qty</t>
  </si>
  <si>
    <t>Delivery→invoice latency, accuracy, reversal/correction and sync reliability need measurement.</t>
  </si>
  <si>
    <t>Defined process basis</t>
  </si>
  <si>
    <t>Production Pick / Staging</t>
  </si>
  <si>
    <t>Shipment/DN ref; invoice post time; GL entries; corrections/reversals; sync request/response.</t>
  </si>
  <si>
    <t>Pick and stage components</t>
  </si>
  <si>
    <t>Order / loss type / plant</t>
  </si>
  <si>
    <t>E3 requires posted live invoices linked to delivery; E4 requires latency/accuracy/failure measures.</t>
  </si>
  <si>
    <t>Pick production components from approved source bins/locations and stage them for the released order/operation.</t>
  </si>
  <si>
    <t>Production loss/scrap records</t>
  </si>
  <si>
    <t>Business Central Warehouse / Production</t>
  </si>
  <si>
    <t>Tracks physical yield loss and cost leakage.</t>
  </si>
  <si>
    <t>Invoice production sample pending</t>
  </si>
  <si>
    <t>Reduce avoidable loss by comparable product/process</t>
  </si>
  <si>
    <t>Warehouse / Production Material Handler</t>
  </si>
  <si>
    <t>CAL-O2C-10</t>
  </si>
  <si>
    <t>System-directed pick + human execution</t>
  </si>
  <si>
    <t>M-P2P-26</t>
  </si>
  <si>
    <t>Payment collection &amp; application</t>
  </si>
  <si>
    <t>Pending quality master evidence</t>
  </si>
  <si>
    <t>O2C-023:024</t>
  </si>
  <si>
    <t>By-product Recovery Rate</t>
  </si>
  <si>
    <t>EV-P2P-06</t>
  </si>
  <si>
    <t>Source-order linkage; bin/lot traceability; handled quantity; short-pick reason</t>
  </si>
  <si>
    <t>Yield / Value Recovery</t>
  </si>
  <si>
    <t>Work/machine center capacity</t>
  </si>
  <si>
    <t>Material staging cycle time</t>
  </si>
  <si>
    <t>Recovered reusable/saleable by-product quantity or value as a share of recoverable by-product generated.</t>
  </si>
  <si>
    <t>Pick/staging document, component, lot/bin, planned/handled qty, timestamps</t>
  </si>
  <si>
    <t>Finance design supports receipt/application; MR bank/subbranch sync remains under QA.</t>
  </si>
  <si>
    <t>Work/machine center master, calendars, capacity, efficiency, cost and downtime/availability basis</t>
  </si>
  <si>
    <t>Recovered by-product qty/value / recoverable by-product generated qty/value</t>
  </si>
  <si>
    <t>BSES-1792 QA In Review; Finance SDD</t>
  </si>
  <si>
    <t>Microsoft BC Manufacturing / Work Center Bins</t>
  </si>
  <si>
    <t>Production Planning / Engineering</t>
  </si>
  <si>
    <t>Recovered qty/value</t>
  </si>
  <si>
    <t>Digital receipt coverage, first-pass match, unapplied cash and off-system receipts not measured.</t>
  </si>
  <si>
    <t>Center ID, calendar, capacity, efficiency, cost, active dates, maintenance/availability blocks</t>
  </si>
  <si>
    <t>MR/receipt; bank ref; BC posting; application; unapplied balance; sync/error logs.</t>
  </si>
  <si>
    <t>Recoverable generated qty/value</t>
  </si>
  <si>
    <t>Current master + 8-12 week schedule history</t>
  </si>
  <si>
    <t>Recalculate available capacity for sampled periods and compare to planned load</t>
  </si>
  <si>
    <t>By-product / plant / period</t>
  </si>
  <si>
    <t>P2P-016</t>
  </si>
  <si>
    <t>Stale calendar; missing capacity; off-system capacity adjustment</t>
  </si>
  <si>
    <t>E3 requires live receipt/application records; E4 requires digital-receipt and auto-application metrics.</t>
  </si>
  <si>
    <t>Production + inventory records</t>
  </si>
  <si>
    <t>Determines whether scheduling/utilization KPIs are trustworthy</t>
  </si>
  <si>
    <t>Measures value recovery from production residues.</t>
  </si>
  <si>
    <t>Shop-Floor Execution</t>
  </si>
  <si>
    <t>Payment event extraction pending</t>
  </si>
  <si>
    <t>Increase where economically and safely appropriate</t>
  </si>
  <si>
    <t>Material Issue &amp; Consumption</t>
  </si>
  <si>
    <t>Record component consumption</t>
  </si>
  <si>
    <t>CAL-O2C-11</t>
  </si>
  <si>
    <t>M-P2P-27</t>
  </si>
  <si>
    <t>Collections, aging &amp; recovery</t>
  </si>
  <si>
    <t>Record actual material usage by production order/operation using manual, forward or backward flushing as approved for each component.</t>
  </si>
  <si>
    <t>Production Genealogy Completeness</t>
  </si>
  <si>
    <t>Business Central Production Journal / Consumption Journal</t>
  </si>
  <si>
    <t>Underlying S1-S2; management layer S0-S1</t>
  </si>
  <si>
    <t>Traceability / Control</t>
  </si>
  <si>
    <t>Share of finished lots/batches/bundles traceable to production order, raw-material lots and required QC evidence.</t>
  </si>
  <si>
    <t>Production Operator / System</t>
  </si>
  <si>
    <t>BC aging capability exists by design, but E19 collection/recovery management layer is not delivered.</t>
  </si>
  <si>
    <t>Fully traceable finished lots/batches / eligible finished lots/batches</t>
  </si>
  <si>
    <t>Flushing automation + human exception entry</t>
  </si>
  <si>
    <t>BSES-2973,2974,2975,2976,2977,2980,2981,2982,2983,2984,2985,2986,2987 all To Do</t>
  </si>
  <si>
    <t>Fully traceable finished lots/batches</t>
  </si>
  <si>
    <t>No unified authoritative collection service/reconciliation or measured recovery workflow.</t>
  </si>
  <si>
    <t>Eligible finished lots/batches</t>
  </si>
  <si>
    <t>Open AR; due date; NOD commitment; collection actions; MR/payment link; authoritative reconciliation.</t>
  </si>
  <si>
    <t>Source lot/order traceability; valid flushing method; no excess/unexplained consumption</t>
  </si>
  <si>
    <t>E3 requires production collection/recovery events; E4 requires DSO/overdue/NOD/recovery metrics.</t>
  </si>
  <si>
    <t>Lot/batch/bundle / product / plant</t>
  </si>
  <si>
    <t>Material consumption variance</t>
  </si>
  <si>
    <t>S3 decision support with controlled human action</t>
  </si>
  <si>
    <t>BC tracking + production/QC records</t>
  </si>
  <si>
    <t>Foundation present; management layer pending</t>
  </si>
  <si>
    <t>Expected/actual component qty, lot, operation, posting user/time, flushing method</t>
  </si>
  <si>
    <t>Critical audit, recall and quality-control metric.</t>
  </si>
  <si>
    <t>CAL-O2C-12</t>
  </si>
  <si>
    <t>Sales return &amp; financial/inventory adjustment</t>
  </si>
  <si>
    <t>O2C-026:027</t>
  </si>
  <si>
    <t>M-P2P-28</t>
  </si>
  <si>
    <t>Final QC Pass Rate</t>
  </si>
  <si>
    <t>P2P-017</t>
  </si>
  <si>
    <t>Return API enhancement is delivered and return controls are defined.</t>
  </si>
  <si>
    <t>BSES-2761 Done; Finance + Logistics design</t>
  </si>
  <si>
    <t>Operation Start</t>
  </si>
  <si>
    <t>No complete live return→receipt/inspection→inventory→credit chain measured.</t>
  </si>
  <si>
    <t>Start routing operation</t>
  </si>
  <si>
    <t>Share of final inspected finished-goods quantity/cases passing all release criteria.</t>
  </si>
  <si>
    <t>Return request; source DN/invoice; approval; receipt; inventory entry; credit memo; timestamps.</t>
  </si>
  <si>
    <t>Record actual operation start for the correct production order, operation and work/machine center with operator/shift context.</t>
  </si>
  <si>
    <t>Final accepted inspected qty/cases / final inspected qty/cases</t>
  </si>
  <si>
    <t>E3 requires complete production return chains; E4 requires return-rate and cycle measures.</t>
  </si>
  <si>
    <t>Business Central Output/Production Journal or Shop-Floor Extension</t>
  </si>
  <si>
    <t>Accepted final qty/cases</t>
  </si>
  <si>
    <t>Business Central + approved shop-floor event source</t>
  </si>
  <si>
    <t>Final inspected qty/cases</t>
  </si>
  <si>
    <t>End-to-end return sample pending</t>
  </si>
  <si>
    <t>Operator / Shift Supervisor</t>
  </si>
  <si>
    <t>Product / grade / plant</t>
  </si>
  <si>
    <t>Human/device event capture</t>
  </si>
  <si>
    <t>CAL-O2C-13</t>
  </si>
  <si>
    <t>Final quality inspection records</t>
  </si>
  <si>
    <t>Primary release-quality outcome.</t>
  </si>
  <si>
    <t>Correct order/operation/resource; timestamp integrity; operator authorization</t>
  </si>
  <si>
    <t>Increase; target by product/specification</t>
  </si>
  <si>
    <t>Operation start adherence</t>
  </si>
  <si>
    <t>Pending capacity evidence</t>
  </si>
  <si>
    <t>Order, operation, resource, operator, shift, planned/actual start</t>
  </si>
  <si>
    <t>Medium-Low</t>
  </si>
  <si>
    <t>M-P2P-29</t>
  </si>
  <si>
    <t>EV-P2P-07</t>
  </si>
  <si>
    <t>Production Module Data Record + Microsoft BC Production Orders</t>
  </si>
  <si>
    <t>Requirement is explicit, but consolidated authoritative reconciliation is not evidenced as live.</t>
  </si>
  <si>
    <t>FG Output Posting Accuracy</t>
  </si>
  <si>
    <t>Production order creation / release</t>
  </si>
  <si>
    <t>Control / Inventory</t>
  </si>
  <si>
    <t>BSES-2985 To Do; Finance/Logistics cross-reference requirements</t>
  </si>
  <si>
    <t>Share of finished output whose physical accepted quantity matches posted inventory quantity within approved tolerance.</t>
  </si>
  <si>
    <t>CO→SO→DO→DN→Invoice→MR→Return lineage and unmatched ownership not proven.</t>
  </si>
  <si>
    <t>Production-order lifecycle/status history with source demand and readiness controls</t>
  </si>
  <si>
    <t>Accurately posted FG output cases / eligible FG output cases</t>
  </si>
  <si>
    <t>Canonical cross-document keys; quantity/amount balances; unmatched queue; correction history.</t>
  </si>
  <si>
    <t>Business Central / Production Control</t>
  </si>
  <si>
    <t>Accurately posted cases</t>
  </si>
  <si>
    <t>E3 requires reproducible live reconciliation; E4 requires reconciliation-rate and exception-aging measures.</t>
  </si>
  <si>
    <t>Eligible output cases</t>
  </si>
  <si>
    <t>Order no., source, item, qty, due date, BOM/routing, Created/Firm Planned/Released/Finished status events, user/time, exceptions</t>
  </si>
  <si>
    <t>60-90 days across active plants</t>
  </si>
  <si>
    <t>Execution capability not verified</t>
  </si>
  <si>
    <t>Order / item / lot / plant</t>
  </si>
  <si>
    <t>Trace order from source demand to release and verify readiness/approval evidence</t>
  </si>
  <si>
    <t>Production output + item ledger</t>
  </si>
  <si>
    <t>Manual orphan order; release with missing master/material control; backdated status</t>
  </si>
  <si>
    <t>Connects shop-floor reality to inventory truth.</t>
  </si>
  <si>
    <t>CAL-O2C-14</t>
  </si>
  <si>
    <t>Core evidence of governed planning-to-execution transition</t>
  </si>
  <si>
    <t>End-to-end O2C performance intelligence</t>
  </si>
  <si>
    <t>M-P2P-30</t>
  </si>
  <si>
    <t>Early S1 / TBD</t>
  </si>
  <si>
    <t>FG Put-away Cycle Time</t>
  </si>
  <si>
    <t>P2P-018</t>
  </si>
  <si>
    <t>Elapsed time from accepted finished output to available finished-goods storage location/bin.</t>
  </si>
  <si>
    <t>Metric architecture is defined, but no unified production event log has been extracted.</t>
  </si>
  <si>
    <t>Average(FG storage completion - accepted output timestamp)</t>
  </si>
  <si>
    <t>Process Parameter Capture</t>
  </si>
  <si>
    <t>Capture critical operation parameters</t>
  </si>
  <si>
    <t>Microsoft process-mining requirements + O2C metric dictionary</t>
  </si>
  <si>
    <t>Lot/bundle / plant</t>
  </si>
  <si>
    <t>No canonical live case/event model, variant analysis or human-touch classification.</t>
  </si>
  <si>
    <t>Production output + warehouse movement</t>
  </si>
  <si>
    <t>Record critical process parameters required by the product/operation, such as temperature, speed, pressure, energy or instrument readings, with source/time.</t>
  </si>
  <si>
    <t>Unified event log: Case ID, Activity, Timestamp, source, actor/resource, document refs, execution type, exception/approval attributes.</t>
  </si>
  <si>
    <t>Measures handoff delay from manufacturing to inventory availability.</t>
  </si>
  <si>
    <t>Shop-Floor / Quality Extension + Device Integration</t>
  </si>
  <si>
    <t>E3 begins when real cases are reconstructed; E4 requires repeatable refreshed metrics and variants.</t>
  </si>
  <si>
    <t>Approved production event record</t>
  </si>
  <si>
    <t>Operator / Device / Supervisor</t>
  </si>
  <si>
    <t>M-P2P-31</t>
  </si>
  <si>
    <t>Architecture ready; event extraction not started</t>
  </si>
  <si>
    <t>Device capture where available + human confirmation</t>
  </si>
  <si>
    <t>Production Order Close Timeliness</t>
  </si>
  <si>
    <t>Candidate S0</t>
  </si>
  <si>
    <t>Control / Process Performance</t>
  </si>
  <si>
    <t>Elapsed time from physical completion/final output to production-order status Finished/closed.</t>
  </si>
  <si>
    <t>Instrument identity/calibration; parameter limits; immutable event history; safety boundaries</t>
  </si>
  <si>
    <t>Average(order finish timestamp - physical completion timestamp)</t>
  </si>
  <si>
    <t>Critical parameter digital capture rate</t>
  </si>
  <si>
    <t>Order/operation, parameter, value, unit, instrument, calibration status, timestamp</t>
  </si>
  <si>
    <t>Production order / plant</t>
  </si>
  <si>
    <t>BC production order status history</t>
  </si>
  <si>
    <t>Important because final cost adjustment depends on completed/finished order status.</t>
  </si>
  <si>
    <t>P2P-019</t>
  </si>
  <si>
    <t>Reduce unnecessary close lag</t>
  </si>
  <si>
    <t>M-P2P-32</t>
  </si>
  <si>
    <t>WIP Progress</t>
  </si>
  <si>
    <t>Actual vs Standard Production Cost Variance</t>
  </si>
  <si>
    <t>Record WIP progress</t>
  </si>
  <si>
    <t>Cost</t>
  </si>
  <si>
    <t>Record quantity/time completed at each operation and maintain visible work-in-progress state, including pending, completed and blocked quantities.</t>
  </si>
  <si>
    <t>Variance between actual production-order cost and approved standard/expected cost for comparable output.</t>
  </si>
  <si>
    <t>Business Central Output Journal / Shop-Floor Extension</t>
  </si>
  <si>
    <t>(Actual cost - standard/expected cost) / standard/expected cost</t>
  </si>
  <si>
    <t>Business Central + approved event source</t>
  </si>
  <si>
    <t>Actual minus standard/expected cost</t>
  </si>
  <si>
    <t>Operator / Supervisor</t>
  </si>
  <si>
    <t>Standard/expected cost</t>
  </si>
  <si>
    <t>Human/device capture + system calculation</t>
  </si>
  <si>
    <t>Order / item / plant</t>
  </si>
  <si>
    <t>BC manufacturing costing</t>
  </si>
  <si>
    <t>Quantity conservation; source operation traceability; no silent WIP status changes</t>
  </si>
  <si>
    <t>Financial view of production efficiency and variance.</t>
  </si>
  <si>
    <t>WIP visibility coverage</t>
  </si>
  <si>
    <t>Operation quantities, time, status, block reason, order and resource</t>
  </si>
  <si>
    <t>M-P2P-33</t>
  </si>
  <si>
    <t>Production Variance Exception Rate</t>
  </si>
  <si>
    <t>Share of production orders exceeding approved material, output, time, scrap or cost variance thresholds.</t>
  </si>
  <si>
    <t>P2P-020</t>
  </si>
  <si>
    <t>Orders exceeding variance thresholds / completed orders</t>
  </si>
  <si>
    <t>Pending production-order extract</t>
  </si>
  <si>
    <t>Variance reason / plant / item</t>
  </si>
  <si>
    <t>Production/order cost and quantity analysis</t>
  </si>
  <si>
    <t>EV-P2P-08</t>
  </si>
  <si>
    <t>Focuses management attention on material deviations.</t>
  </si>
  <si>
    <t>Material availability &amp; reservation</t>
  </si>
  <si>
    <t>In-Process Inspection Trigger</t>
  </si>
  <si>
    <t>M-P2P-34</t>
  </si>
  <si>
    <t>Create required quality inspection</t>
  </si>
  <si>
    <t>Production component demand, inventory availability and reservation entries</t>
  </si>
  <si>
    <t>Production Inventory-to-GL Reconciliation Rate</t>
  </si>
  <si>
    <t>Automatically or manually create quality inspection at defined production output/operation checkpoints according to item/process rules.</t>
  </si>
  <si>
    <t>Inventory / Business Central</t>
  </si>
  <si>
    <t>Control / Finance</t>
  </si>
  <si>
    <t>Business Central Quality Management</t>
  </si>
  <si>
    <t>Share of eligible production consumption/output/cost chains reconciled to inventory valuation and G/L within approved timing/tolerance.</t>
  </si>
  <si>
    <t>Order, component, required qty, on-hand, available, reserved, location, shortage, reservation/release events</t>
  </si>
  <si>
    <t>Reconciled production chains / eligible completed chains</t>
  </si>
  <si>
    <t>60-90 days; include shortage/cancellation cases</t>
  </si>
  <si>
    <t>Reconciled chains</t>
  </si>
  <si>
    <t>System / Quality Inspector</t>
  </si>
  <si>
    <t>Trace sample orders from requirement through reservation and actual issue</t>
  </si>
  <si>
    <t>Rule-driven inspection creation</t>
  </si>
  <si>
    <t>Duplicate allocation; unexplained negative availability; stale reservation</t>
  </si>
  <si>
    <t>SBU / period / product</t>
  </si>
  <si>
    <t>Measures material-readiness control before shop-floor release</t>
  </si>
  <si>
    <t>BC item/value/G/L/capacity entries</t>
  </si>
  <si>
    <t>Core production financial-integrity control.</t>
  </si>
  <si>
    <t>Inspection rule/version; source order/output; sample identity; no bypass of mandatory inspection</t>
  </si>
  <si>
    <t>Increase toward 100% with governed timing differences</t>
  </si>
  <si>
    <t>In-process QC coverage</t>
  </si>
  <si>
    <t>M-P2P-35</t>
  </si>
  <si>
    <t>Inspection ID, source order/output, test plan, sample, created time</t>
  </si>
  <si>
    <t>Production Delay / Blocker Rate</t>
  </si>
  <si>
    <t>Exception / Execution</t>
  </si>
  <si>
    <t>Microsoft BC Quality Management</t>
  </si>
  <si>
    <t>Share of production orders/operations materially affected by shortage, quality hold, resource issue or process interruption.</t>
  </si>
  <si>
    <t>Orders/operations with material blocker / active or completed orders/operations</t>
  </si>
  <si>
    <t>Blocked orders/operations</t>
  </si>
  <si>
    <t>Eligible orders/operations</t>
  </si>
  <si>
    <t>Reason / plant / resource</t>
  </si>
  <si>
    <t>Production exception/blocker log</t>
  </si>
  <si>
    <t>Shows hidden operational friction and bottleneck causes.</t>
  </si>
  <si>
    <t>Reduce avoidable blockers</t>
  </si>
  <si>
    <t>M-P2P-36</t>
  </si>
  <si>
    <t>Production Delay Resolution Time</t>
  </si>
  <si>
    <t>Elapsed time from production blocker creation to recovery/closure.</t>
  </si>
  <si>
    <t>Average(blocker close timestamp - blocker open timestamp)</t>
  </si>
  <si>
    <t>Reason / owner / plant</t>
  </si>
  <si>
    <t>Production exception log</t>
  </si>
  <si>
    <t>Measures response effectiveness to production interruptions.</t>
  </si>
  <si>
    <t>Reduce vs baseline by reason class</t>
  </si>
  <si>
    <t>M-P2P-37</t>
  </si>
  <si>
    <t>Straight-Through Production Order Rate</t>
  </si>
  <si>
    <t>Share of eligible standard production orders progressing from approved plan through completion without unplanned manual re-keying/reconciliation or exception intervention.</t>
  </si>
  <si>
    <t>Eligible orders completed without unplanned intervention / eligible standard production orders</t>
  </si>
  <si>
    <t>Straight-through orders</t>
  </si>
  <si>
    <t>Eligible standard orders</t>
  </si>
  <si>
    <t>Product family / plant / SBU</t>
  </si>
  <si>
    <t>Cross-system production event log</t>
  </si>
  <si>
    <t>Executive automation outcome for standard manufacturing cases.</t>
  </si>
  <si>
    <t>Increase only where process risk/variability permits</t>
  </si>
  <si>
    <t>M-P2P-38</t>
  </si>
  <si>
    <t>Production Digital Process Adoption</t>
  </si>
  <si>
    <t>Share of eligible production cases executed through approved digital workflow without uncontrolled spreadsheet, paper, WhatsApp or offline bypass for governed steps.</t>
  </si>
  <si>
    <t>Approved digital cases / eligible production cases</t>
  </si>
  <si>
    <t>Eligible production cases</t>
  </si>
  <si>
    <t>Process step / plant / SBU</t>
  </si>
  <si>
    <t>System events + controlled bypass register</t>
  </si>
  <si>
    <t>Separates ERP availability from actual shop-floor adoption.</t>
  </si>
  <si>
    <t>Increase toward 100% for mandatory digital controls</t>
  </si>
  <si>
    <t>M-P2P-39</t>
  </si>
  <si>
    <t>Human Touches per Production Order</t>
  </si>
  <si>
    <t>Count of distinct human entry, coordination, approval, exception, reconciliation and reporting actions per production order.</t>
  </si>
  <si>
    <t>Pending inventory/production extract</t>
  </si>
  <si>
    <t>Human action events / completed production orders</t>
  </si>
  <si>
    <t>EV-P2P-09</t>
  </si>
  <si>
    <t>Production material staging / pick</t>
  </si>
  <si>
    <t>Completed production orders</t>
  </si>
  <si>
    <t>Warehouse/production pick and staging documents linked to released production order</t>
  </si>
  <si>
    <t>Warehouse / Production</t>
  </si>
  <si>
    <t>Role / L5-L6 step / plant</t>
  </si>
  <si>
    <t>Order, component, lot/bin/location, requested/handled qty, short-pick reason, worker, timestamps</t>
  </si>
  <si>
    <t>Workflow/audit logs + sampled offline activity</t>
  </si>
  <si>
    <t>30-60 days across representative warehouses/plants</t>
  </si>
  <si>
    <t>Quantifies manual dependency and automation opportunity.</t>
  </si>
  <si>
    <t>Reduce avoidable touches; retain safety/quality controls</t>
  </si>
  <si>
    <t>Trace staged material to production order and subsequent consumption</t>
  </si>
  <si>
    <t>Requires human-action classification</t>
  </si>
  <si>
    <t>P2P-021</t>
  </si>
  <si>
    <t>Paper-only staging; no lot/bin trace; staged qty not tied to order</t>
  </si>
  <si>
    <t>M-P2P-40</t>
  </si>
  <si>
    <t>QC / Production</t>
  </si>
  <si>
    <t>Shows warehouse-to-production digital handoff quality</t>
  </si>
  <si>
    <t>Human Minutes per Production Order</t>
  </si>
  <si>
    <t>In-Process Test Execution</t>
  </si>
  <si>
    <t>Measured active human processing/coordination time attributable to planning, production administration, quality and reconciliation per order.</t>
  </si>
  <si>
    <t>Record quality test results</t>
  </si>
  <si>
    <t>Sum active human processing minutes / completed production orders</t>
  </si>
  <si>
    <t>Record required chemical, physical, dimensional or process test results against approved limits and trace the sample/instrument/operator.</t>
  </si>
  <si>
    <t>Quality Management / Lab Integration</t>
  </si>
  <si>
    <t>Quality inspection/test result</t>
  </si>
  <si>
    <t>Pending staging evidence</t>
  </si>
  <si>
    <t>Quality Inspector / Lab</t>
  </si>
  <si>
    <t>Role / step / plant</t>
  </si>
  <si>
    <t>Human/device test capture + deterministic limit check</t>
  </si>
  <si>
    <t>EV-P2P-10</t>
  </si>
  <si>
    <t>Time study + system event logs</t>
  </si>
  <si>
    <t>Material consumption</t>
  </si>
  <si>
    <t>Supports productivity and benefit realization without treating machine run time as human effort.</t>
  </si>
  <si>
    <t>Reduce avoidable administrative effort</t>
  </si>
  <si>
    <t>Approved limits; instrument calibration; sample traceability; result edit history</t>
  </si>
  <si>
    <t>Expected and actual production consumption with flushing method and source lot</t>
  </si>
  <si>
    <t>QC first-pass yield</t>
  </si>
  <si>
    <t>M-P2P-41</t>
  </si>
  <si>
    <t>Human Dependency Index - Production</t>
  </si>
  <si>
    <t>Sample, test, result, limit, instrument, operator, timestamp, pass/fail</t>
  </si>
  <si>
    <t>Order, component, expected qty, actual qty, UOM, lot/location, operation, flushing method, posting user/time</t>
  </si>
  <si>
    <t>Production Module Data Record + Microsoft BC Quality Management</t>
  </si>
  <si>
    <t>Composite index of manual data entry, planning decisions, coordination, approvals, quality handling, exception resolution and reconciliation in Plan-to-Produce.</t>
  </si>
  <si>
    <t>60-90 days; representative products</t>
  </si>
  <si>
    <t>Recalculate consumption variance and verify automated flushing is configured/used as designed</t>
  </si>
  <si>
    <t>Manual rekey; unexplained excess use; missing lot/order linkage</t>
  </si>
  <si>
    <t>P2P-022</t>
  </si>
  <si>
    <t>Process / sub-process / plant / SBU</t>
  </si>
  <si>
    <t>Core evidence for material efficiency and production costing</t>
  </si>
  <si>
    <t>QC / Production / Inventory</t>
  </si>
  <si>
    <t>Quality Disposition</t>
  </si>
  <si>
    <t>Executive indicator of avoidable human reliance with drill-down.</t>
  </si>
  <si>
    <t>Accept, hold, rework, downgrade or reject output</t>
  </si>
  <si>
    <t>Pending consumption extract</t>
  </si>
  <si>
    <t>Apply approved disposition to inspected WIP/output and block or release material according to quality result and deviation approval.</t>
  </si>
  <si>
    <t>M-P2P-42</t>
  </si>
  <si>
    <t>EV-P2P-11</t>
  </si>
  <si>
    <t>Realized Production Hours Saved</t>
  </si>
  <si>
    <t>Operation start/end &amp; progress</t>
  </si>
  <si>
    <t>Quality disposition + inventory state</t>
  </si>
  <si>
    <t>Quality Manager / Authorized Approver</t>
  </si>
  <si>
    <t>Verified reduction in human administrative/processing effort attributable to an implemented production transformation.</t>
  </si>
  <si>
    <t>Human decision + deterministic stock/control effect</t>
  </si>
  <si>
    <t>Actual operation events by production order/routing operation/resource</t>
  </si>
  <si>
    <t>(Baseline human minutes/case - post-change minutes/case) x actual case volume / 60</t>
  </si>
  <si>
    <t>Production / Shop Floor</t>
  </si>
  <si>
    <t>Order, operation, work/machine center, operator/shift, planned/actual start/end, output/time, status</t>
  </si>
  <si>
    <t>Nonconforming material blocked; reason/evidence; deviation approval; no silent release</t>
  </si>
  <si>
    <t>30-60 days by plant/shift</t>
  </si>
  <si>
    <t>Quality hold/rejection rate</t>
  </si>
  <si>
    <t>Compare actual events to routing/schedule and identify retrospective/manual-only reporting</t>
  </si>
  <si>
    <t>Disposition, source lot/order, qty, reason, approver, release/block events</t>
  </si>
  <si>
    <t>No operation timestamps; end-of-shift batch entry; resource mismatch</t>
  </si>
  <si>
    <t>Microsoft BC Quality Management + Production BRD</t>
  </si>
  <si>
    <t>Initiative / process / plant</t>
  </si>
  <si>
    <t>Determines actual WIP visibility and schedule-adherence evidence</t>
  </si>
  <si>
    <t>P2P-023</t>
  </si>
  <si>
    <t>Pending shop-floor events</t>
  </si>
  <si>
    <t>EV-P2P-12</t>
  </si>
  <si>
    <t>Output, Scrap &amp; Genealogy</t>
  </si>
  <si>
    <t>Critical process parameters</t>
  </si>
  <si>
    <t>Operation Output</t>
  </si>
  <si>
    <t>M-P2P-43</t>
  </si>
  <si>
    <t>Report production output</t>
  </si>
  <si>
    <t>Device/app/lab parameter event history linked to order/operation</t>
  </si>
  <si>
    <t>Realized Production Cost Saving</t>
  </si>
  <si>
    <t>Record output quantity and time against the correct production order/operation using approved manual/forward/backward reporting method.</t>
  </si>
  <si>
    <t>Production / Engineering / Quality</t>
  </si>
  <si>
    <t>Business Central Output Journal / Production Journal</t>
  </si>
  <si>
    <t>Order/heat/batch, operation, parameter, value, unit, source device/instrument, calibration, timestamp, limit result</t>
  </si>
  <si>
    <t>Verified normalized production-cost reduction attributable to the transformation after controlling for product/volume mix and quality.</t>
  </si>
  <si>
    <t>Operator / System</t>
  </si>
  <si>
    <t>Representative 30 days; critical parameters only initially</t>
  </si>
  <si>
    <t>Normalized baseline production cost - normalized post-change production cost</t>
  </si>
  <si>
    <t>Output reporting + optional flushing automation</t>
  </si>
  <si>
    <t>Confirm completeness, timestamp credibility, instrument calibration and limit handling</t>
  </si>
  <si>
    <t>WhatsApp/paper-only parameter; no device/source identity; post-hoc transcription</t>
  </si>
  <si>
    <t>Key readiness evidence for process analytics and AI assistance</t>
  </si>
  <si>
    <t>BDT / period or BDT / ton/unit</t>
  </si>
  <si>
    <t>Operation/order traceability; no excess output without approved reason; posting method governed</t>
  </si>
  <si>
    <t>Field ID</t>
  </si>
  <si>
    <t>Initiative / product / plant</t>
  </si>
  <si>
    <t>Output reporting timeliness</t>
  </si>
  <si>
    <t>BC costing + operational baseline/post-change data</t>
  </si>
  <si>
    <t>Order, operation, output qty, time, resource, posting method, user/time</t>
  </si>
  <si>
    <t>Tracks realized financial value rather than estimated business case.</t>
  </si>
  <si>
    <t>Field Name</t>
  </si>
  <si>
    <t>Microsoft BC Manufacturing</t>
  </si>
  <si>
    <t>Requirement</t>
  </si>
  <si>
    <t>M-P2P-44</t>
  </si>
  <si>
    <t>AIL Energy Consumption per Ton</t>
  </si>
  <si>
    <t>Data Type</t>
  </si>
  <si>
    <t>P2P-024</t>
  </si>
  <si>
    <t>AIL Variant / Efficiency</t>
  </si>
  <si>
    <t>Verified furnace/production energy consumed per ton of accepted relevant production output.</t>
  </si>
  <si>
    <t>Source Candidate</t>
  </si>
  <si>
    <t>Scrap &amp; Production Loss</t>
  </si>
  <si>
    <t>Verified production energy consumption / accepted output tonnage</t>
  </si>
  <si>
    <t>Record scrap/loss</t>
  </si>
  <si>
    <t>Process-Mining / KPI Use</t>
  </si>
  <si>
    <t>Energy consumed</t>
  </si>
  <si>
    <t>Record scrap quantity, loss type, operation/source, reason and approved disposition without treating it as good output.</t>
  </si>
  <si>
    <t>Accepted output tonnage</t>
  </si>
  <si>
    <t>Business Central Production / Inventory + Extension</t>
  </si>
  <si>
    <t>kWh / MT</t>
  </si>
  <si>
    <t>Business Central / approved scrap ledger</t>
  </si>
  <si>
    <t>Heat / furnace / shift / period</t>
  </si>
  <si>
    <t>Operator / Supervisor / Inventory</t>
  </si>
  <si>
    <t>Control / Evidence Use</t>
  </si>
  <si>
    <t>Meter/device + heat/output genealogy</t>
  </si>
  <si>
    <t>Human capture + deterministic posting</t>
  </si>
  <si>
    <t>Key steelmaking efficiency and cost driver.</t>
  </si>
  <si>
    <t>Reference URL</t>
  </si>
  <si>
    <t>Reduce vs grade/process baseline without harming quality</t>
  </si>
  <si>
    <t>Requires meter-to-heat lineage</t>
  </si>
  <si>
    <t>Defined loss taxonomy; quantity conservation; material/value disposition; approval thresholds</t>
  </si>
  <si>
    <t>EVT-001</t>
  </si>
  <si>
    <t>M-P2P-45</t>
  </si>
  <si>
    <t>Scrap / loss rate</t>
  </si>
  <si>
    <t>AIL Metallic Yield</t>
  </si>
  <si>
    <t>Case_ID</t>
  </si>
  <si>
    <t>Order, operation, scrap type, qty/weight, reason, destination, timestamp</t>
  </si>
  <si>
    <t>AIL Variant / Yield</t>
  </si>
  <si>
    <t>Core required</t>
  </si>
  <si>
    <t>Case</t>
  </si>
  <si>
    <t>Accepted billet/finished metallic output relative to verified metallic input for the selected production stage.</t>
  </si>
  <si>
    <t>String</t>
  </si>
  <si>
    <t>Accepted metallic output weight / verified metallic input weight</t>
  </si>
  <si>
    <t>Canonical identifier for one end-to-end O2C case; use native chain ID where possible or a governed cross-reference key.</t>
  </si>
  <si>
    <t>Accepted metallic output</t>
  </si>
  <si>
    <t>Fabric mapping across Sales Eco, BC and Logistics</t>
  </si>
  <si>
    <t>Verified metallic input</t>
  </si>
  <si>
    <t>P2P-025</t>
  </si>
  <si>
    <t>Groups all events into one process instance.</t>
  </si>
  <si>
    <t>Prevents fragmented analysis of the same transaction.</t>
  </si>
  <si>
    <t>Heat / grade / furnace / period</t>
  </si>
  <si>
    <t>Heat charge + billet/FG output + loss records</t>
  </si>
  <si>
    <t>Core AIL yield/loss management metric.</t>
  </si>
  <si>
    <t>By-product / Reusable Material</t>
  </si>
  <si>
    <t>Increase within approved metallurgical/process limits</t>
  </si>
  <si>
    <t>Record by-product/recoverable output</t>
  </si>
  <si>
    <t>Requires verified liquid-metal/output measurement basis</t>
  </si>
  <si>
    <t>Capture recoverable by-products, reusable cut material or saleable waste separately from finished output and unrecoverable loss.</t>
  </si>
  <si>
    <t>Business Central inventory/production ledger</t>
  </si>
  <si>
    <t>Human confirmation + deterministic inventory posting</t>
  </si>
  <si>
    <t>Pending instrumentation/event evidence</t>
  </si>
  <si>
    <t>EV-P2P-13</t>
  </si>
  <si>
    <t>Approved item/category; source operation; valuation treatment; no double-counting with scrap</t>
  </si>
  <si>
    <t>WIP state</t>
  </si>
  <si>
    <t>By-product recovery rate</t>
  </si>
  <si>
    <t>Source order/operation, by-product item, qty, destination, value treatment</t>
  </si>
  <si>
    <t>WIP quantity/status event table by order and operation</t>
  </si>
  <si>
    <t>Production BRD + Microsoft BC Production Orders</t>
  </si>
  <si>
    <t>Production Control</t>
  </si>
  <si>
    <t>Order, operation, prior/current status, qty in/out, blocked qty, timestamp, actor/source</t>
  </si>
  <si>
    <t>P2P-026</t>
  </si>
  <si>
    <t>Reconstruct actual process progression for sampled orders and compare to physical/production records</t>
  </si>
  <si>
    <t>Production / QC / Inventory</t>
  </si>
  <si>
    <t>No current WIP state; spreadsheet tracker diverges from ERP; missing blocked quantity</t>
  </si>
  <si>
    <t>Batch / Heat / Lot Genealogy</t>
  </si>
  <si>
    <t>Determines real-time production visibility maturity</t>
  </si>
  <si>
    <t>Maintain end-to-end production genealogy</t>
  </si>
  <si>
    <t>Link raw-material lots/batches, production order/heat/batch, WIP stages, test samples, output lots/bundles and final inventory.</t>
  </si>
  <si>
    <t>Business Central Tracking + Production/Quality Extension</t>
  </si>
  <si>
    <t>Business Central + approved production genealogy</t>
  </si>
  <si>
    <t>System / Production / Quality</t>
  </si>
  <si>
    <t>Deterministic linkage + human/device capture</t>
  </si>
  <si>
    <t>EV-P2P-14</t>
  </si>
  <si>
    <t>In-process inspections</t>
  </si>
  <si>
    <t>Stable identifiers; no orphan lineage; source-to-finished trace; immutable relationship history</t>
  </si>
  <si>
    <t>Generated in-process inspection records and completed test results</t>
  </si>
  <si>
    <t>Production genealogy completeness</t>
  </si>
  <si>
    <t>Raw lot, order/heat/batch, WIP/output lot, sample/test, final bundle/FG</t>
  </si>
  <si>
    <t>Quality Management</t>
  </si>
  <si>
    <t>Inspection ID, source order/output, test template/version, sample, result, pass/fail, inspector/instrument, timestamp</t>
  </si>
  <si>
    <t>60-90 days; all required production checkpoints</t>
  </si>
  <si>
    <t>P2P-027</t>
  </si>
  <si>
    <t>Verify required inspections are automatically/manually created per rule and completed before progression/release</t>
  </si>
  <si>
    <t>Mandatory checkpoint bypass; result not linked to source order; missing sample/instrument</t>
  </si>
  <si>
    <t>Evidence that digital QC is integrated into manufacturing execution</t>
  </si>
  <si>
    <t>Final Quality Inspection</t>
  </si>
  <si>
    <t>Execute final-product QC</t>
  </si>
  <si>
    <t>Perform final required physical/dimensional/chemical/functional tests before finished-goods release.</t>
  </si>
  <si>
    <t>Pending inspection evidence</t>
  </si>
  <si>
    <t>EV-P2P-15</t>
  </si>
  <si>
    <t>Quality disposition / nonconformance</t>
  </si>
  <si>
    <t>Human/device testing + deterministic evaluation</t>
  </si>
  <si>
    <t>Hold/rework/downgrade/reject/release disposition and inventory-control history</t>
  </si>
  <si>
    <t>Quality / Production / Inventory</t>
  </si>
  <si>
    <t>EVT-002</t>
  </si>
  <si>
    <t>Event_ID</t>
  </si>
  <si>
    <t>Source lot/order, inspected qty, disposition, reason, approver, blocked/released location/status, corrective action</t>
  </si>
  <si>
    <t>Approved sampling/test plan; calibrated instrument; result limits; independent release</t>
  </si>
  <si>
    <t>AGI required</t>
  </si>
  <si>
    <t>90 days; all material nonconformance cases</t>
  </si>
  <si>
    <t>Event</t>
  </si>
  <si>
    <t>Final QC pass rate</t>
  </si>
  <si>
    <t>Trace nonconforming output to blocked inventory/rework/disposition and final closure</t>
  </si>
  <si>
    <t>Finished lot/bundle, sample, tests, result, inspector, release status</t>
  </si>
  <si>
    <t>Unique immutable identifier for each event row.</t>
  </si>
  <si>
    <t>Failed lot available for use/sale; manual release; no approval trail</t>
  </si>
  <si>
    <t>Source event ID or governed generated key</t>
  </si>
  <si>
    <t>Tests whether quality result actually controls material state</t>
  </si>
  <si>
    <t>Deduplication and event-level traceability.</t>
  </si>
  <si>
    <t>Supports auditability and repeatable reloads.</t>
  </si>
  <si>
    <t>Pending nonconformance evidence</t>
  </si>
  <si>
    <t>P2P-028</t>
  </si>
  <si>
    <t>https://learn.microsoft.com/en-us/power-automate/process-mining-normalized-import-authoring-guide</t>
  </si>
  <si>
    <t>EV-P2P-16</t>
  </si>
  <si>
    <t>Finished Goods &amp; Inventory</t>
  </si>
  <si>
    <t>Production output</t>
  </si>
  <si>
    <t>Finished Output Receipt</t>
  </si>
  <si>
    <t>Post finished-goods output</t>
  </si>
  <si>
    <t>Production/output journal entries linked to physical completion events</t>
  </si>
  <si>
    <t>Post accepted finished output to inventory with item/variant, quantity/UOM, lot/batch/bundle, location and production-order reference.</t>
  </si>
  <si>
    <t>Production / Business Central</t>
  </si>
  <si>
    <t>Business Central Production / Inventory</t>
  </si>
  <si>
    <t>Order, operation, output qty, UOM, time, scrap, resource, posting method, posting timestamp</t>
  </si>
  <si>
    <t>60-90 days</t>
  </si>
  <si>
    <t>System / Production / Inventory</t>
  </si>
  <si>
    <t>Deterministic posting + human confirmation</t>
  </si>
  <si>
    <t>Compare physical/event output to posted output and test reporting lag</t>
  </si>
  <si>
    <t>End-of-day manual bulk posting; output exceeds physical quantity; missing order linkage</t>
  </si>
  <si>
    <t>Only accepted output available; valid lot/location/UOM; source order traceability</t>
  </si>
  <si>
    <t>Measures how closely ERP represents physical production</t>
  </si>
  <si>
    <t>FG output posting accuracy</t>
  </si>
  <si>
    <t>Prod. order, FG item, qty, lot/bundle, location, item ledger entries</t>
  </si>
  <si>
    <t>Pending output extract</t>
  </si>
  <si>
    <t>EV-P2P-17</t>
  </si>
  <si>
    <t>P2P-029</t>
  </si>
  <si>
    <t>Scrap / losses / by-products</t>
  </si>
  <si>
    <t>FG Put-away / Storage</t>
  </si>
  <si>
    <t>Place finished goods in storage</t>
  </si>
  <si>
    <t>Loss, scrap, by-product and reusable-material records by source order/operation</t>
  </si>
  <si>
    <t>Move finished output from production output location/bin to approved finished-goods storage with lot/bundle traceability.</t>
  </si>
  <si>
    <t>Production / Inventory / Finance</t>
  </si>
  <si>
    <t>Business Central Warehouse / Inventory</t>
  </si>
  <si>
    <t>Order/heat, operation, loss/by-product type, qty/weight, reason, destination, valuation treatment, timestamp</t>
  </si>
  <si>
    <t>Warehouse Operator</t>
  </si>
  <si>
    <t>System-directed movement + human execution</t>
  </si>
  <si>
    <t>60-90 days; all major loss categories</t>
  </si>
  <si>
    <t>Reconcile input-output-loss/by-product quantity and check classification/valuation</t>
  </si>
  <si>
    <t>Correct bin/location; blocked QC stock segregated; lot/bundle traceability</t>
  </si>
  <si>
    <t>FG put-away cycle time</t>
  </si>
  <si>
    <t>Unexplained yield gap; WhatsApp-only loss report; double-counted reusable material</t>
  </si>
  <si>
    <t>Output bin, destination bin, lot/bundle, qty, movement user/time</t>
  </si>
  <si>
    <t>Production Module Data Record + Microsoft BC Work/Machine Centers</t>
  </si>
  <si>
    <t>Foundation for yield, waste and cost-improvement analysis</t>
  </si>
  <si>
    <t>P2P-030</t>
  </si>
  <si>
    <t>Pending loss/by-product evidence</t>
  </si>
  <si>
    <t>EV-P2P-18</t>
  </si>
  <si>
    <t>EVT-003</t>
  </si>
  <si>
    <t>Production Order Finish</t>
  </si>
  <si>
    <t>Production genealogy</t>
  </si>
  <si>
    <t>Activity_Name</t>
  </si>
  <si>
    <t>Finish/close production order</t>
  </si>
  <si>
    <t>Change production order to Finished only after required output, consumption, scrap, quality and operational events are complete or approved exceptions exist.</t>
  </si>
  <si>
    <t>Genealogy dataset from raw lot/batch through WIP/heat/batch/output lot/bundle and QC sample</t>
  </si>
  <si>
    <t>Normalized activity such as CO Submitted, Credit Approved, SO Created, DO Created, POD Captured, Invoice Posted, Payment Applied.</t>
  </si>
  <si>
    <t>Production / Quality / Inventory</t>
  </si>
  <si>
    <t>Mapped from source action/status/event</t>
  </si>
  <si>
    <t>Raw lot, order/heat/batch, operation, sample, output lot/bundle, FG item/location, timestamps</t>
  </si>
  <si>
    <t>Required process-mining activity field and variant analysis.</t>
  </si>
  <si>
    <t>System validation + human close authorization</t>
  </si>
  <si>
    <t>90 days; representative product families and all quality exceptions</t>
  </si>
  <si>
    <t>Provides one enterprise process vocabulary.</t>
  </si>
  <si>
    <t>Perform backward and forward trace on sampled finished lots/bundles</t>
  </si>
  <si>
    <t>Orphan lot; lineage breaks at WIP; quality sample not tied to output</t>
  </si>
  <si>
    <t>No uncontrolled close with missing output/consumption; residual WIP reviewed; audit history</t>
  </si>
  <si>
    <t>Core traceability/readiness evidence for quality, recall and analytics</t>
  </si>
  <si>
    <t>EVT-004</t>
  </si>
  <si>
    <t>Event_Timestamp</t>
  </si>
  <si>
    <t>Datetime</t>
  </si>
  <si>
    <t>Authoritative time at which the event occurred.</t>
  </si>
  <si>
    <t>EV-P2P-19</t>
  </si>
  <si>
    <t>Created/posted/approved/status-change timestamp</t>
  </si>
  <si>
    <t>Final QC &amp; finished-goods release</t>
  </si>
  <si>
    <t>Sequence and cycle-time analysis.</t>
  </si>
  <si>
    <t>Evidence chronology and SLA testing.</t>
  </si>
  <si>
    <t>Final inspection, release status and inventory availability history</t>
  </si>
  <si>
    <t>Quality / Inventory</t>
  </si>
  <si>
    <t>Finished lot/bundle, tests/results, release decision, approver, blocked/available status, item ledger/location</t>
  </si>
  <si>
    <t>EVT-005</t>
  </si>
  <si>
    <t>90 days</t>
  </si>
  <si>
    <t>Start_Timestamp</t>
  </si>
  <si>
    <t>Verify only accepted output becomes available finished inventory and failures remain blocked</t>
  </si>
  <si>
    <t>Recommended</t>
  </si>
  <si>
    <t>Inventory available before QC release; no final-test trace; manual unblock</t>
  </si>
  <si>
    <t>Production order close timeliness</t>
  </si>
  <si>
    <t>Proves quality-to-inventory control effectiveness</t>
  </si>
  <si>
    <t>Start of an activity when active duration can be measured.</t>
  </si>
  <si>
    <t>Workflow/task start</t>
  </si>
  <si>
    <t>Pending final-QC evidence</t>
  </si>
  <si>
    <t>Active processing-time analysis.</t>
  </si>
  <si>
    <t>Separates active effort from waiting.</t>
  </si>
  <si>
    <t>EV-P2P-20</t>
  </si>
  <si>
    <t>Status history, output/consumption completeness, residual WIP, close user/time</t>
  </si>
  <si>
    <t>Finished-goods receipt / put-away</t>
  </si>
  <si>
    <t>EVT-006</t>
  </si>
  <si>
    <t>FG output/item ledger and warehouse movement records</t>
  </si>
  <si>
    <t>End_Timestamp</t>
  </si>
  <si>
    <t>Production / Warehouse / Inventory</t>
  </si>
  <si>
    <t>Order, item, lot/bundle, qty, UOM, output location/bin, storage location/bin, timestamps, worker</t>
  </si>
  <si>
    <t>End of an activity when duration is available.</t>
  </si>
  <si>
    <t>Reconcile accepted output to inventory receipt and final storage</t>
  </si>
  <si>
    <t>Workflow/task completion</t>
  </si>
  <si>
    <t>Physical FG not in ERP; wrong location; blocked lot mixed with available stock</t>
  </si>
  <si>
    <t>Activity duration and waiting-time decomposition.</t>
  </si>
  <si>
    <t>Shows production-to-inventory handoff integrity</t>
  </si>
  <si>
    <t>Supports human-minutes and SLA measurement.</t>
  </si>
  <si>
    <t>P2P-031</t>
  </si>
  <si>
    <t>EVT-007</t>
  </si>
  <si>
    <t>Pending inventory evidence</t>
  </si>
  <si>
    <t>Source_System</t>
  </si>
  <si>
    <t>Finance / Production</t>
  </si>
  <si>
    <t>EV-P2P-21</t>
  </si>
  <si>
    <t>Production order finish</t>
  </si>
  <si>
    <t>Costing &amp; Finance</t>
  </si>
  <si>
    <t>Finished production-order status and completion checks</t>
  </si>
  <si>
    <t>System emitting the event: Sales Eco, Business Central, Logistics App, bank interface, Fabric-derived, etc.</t>
  </si>
  <si>
    <t>Production Cost Calculation</t>
  </si>
  <si>
    <t>Production Control / Business Central</t>
  </si>
  <si>
    <t>Integration/source metadata</t>
  </si>
  <si>
    <t>Calculate actual production cost</t>
  </si>
  <si>
    <t>Order, physical completion time, final output/consumption, residual WIP, exceptions, Finished timestamp/user</t>
  </si>
  <si>
    <t>System-switch and source-reliability analysis.</t>
  </si>
  <si>
    <t>Evidence provenance.</t>
  </si>
  <si>
    <t>Accumulate material, capacity, subcontracting and approved overhead costs against the production order/finished item.</t>
  </si>
  <si>
    <t>Verify orders are finished promptly only after execution records are complete</t>
  </si>
  <si>
    <t>Long close lag; Finished order with missing output/consumption; active physical order marked Finished</t>
  </si>
  <si>
    <t>Business Central Manufacturing Costing</t>
  </si>
  <si>
    <t>Important for final costing and process-cycle accuracy</t>
  </si>
  <si>
    <t>System / Cost Accountant</t>
  </si>
  <si>
    <t>Deterministic costing + human review</t>
  </si>
  <si>
    <t>Approved cost methods/rates; source ledger traceability; no unsupported manual cost adjustment</t>
  </si>
  <si>
    <t>Actual vs standard production cost variance</t>
  </si>
  <si>
    <t>Material/capacity entries, cost rates, overhead, output cost, production order</t>
  </si>
  <si>
    <t>P2P-032</t>
  </si>
  <si>
    <t>KPI ID</t>
  </si>
  <si>
    <t>WIP &amp; Variance Reconciliation</t>
  </si>
  <si>
    <t>Reconcile production variance</t>
  </si>
  <si>
    <t>EVT-008</t>
  </si>
  <si>
    <t>Source_Record_ID</t>
  </si>
  <si>
    <t>Reconcile expected vs actual material, output, capacity, scrap and cost; identify and resolve material variances before period close.</t>
  </si>
  <si>
    <t>Pilot KPI</t>
  </si>
  <si>
    <t>Business Central Manufacturing + Finance</t>
  </si>
  <si>
    <t>Native record key from the source system.</t>
  </si>
  <si>
    <t>Calculation</t>
  </si>
  <si>
    <t>Cost Accountant / Production Analyst</t>
  </si>
  <si>
    <t>Source table/API primary key</t>
  </si>
  <si>
    <t>Rules/analytics + human exception resolution</t>
  </si>
  <si>
    <t>Drill-back and reconciliation.</t>
  </si>
  <si>
    <t>Required Events / Data</t>
  </si>
  <si>
    <t>Supports source-record sampling.</t>
  </si>
  <si>
    <t>Baseline Period</t>
  </si>
  <si>
    <t>Baseline Value</t>
  </si>
  <si>
    <t>EVT-009</t>
  </si>
  <si>
    <t>Data Quality Status</t>
  </si>
  <si>
    <t>Document_Type</t>
  </si>
  <si>
    <t>Defined variance thresholds; owner/reason; no unapproved write-off; complete order references</t>
  </si>
  <si>
    <t>Owner</t>
  </si>
  <si>
    <t>Pending production-order evidence</t>
  </si>
  <si>
    <t>Production variance exception rate</t>
  </si>
  <si>
    <t>Acceptance Rule</t>
  </si>
  <si>
    <t>EV-P2P-22</t>
  </si>
  <si>
    <t>Expected/actual quantity/cost, variance reason, owner, adjustment reference</t>
  </si>
  <si>
    <t>Customer Order, SO, DO, DN/Shipment, Invoice, MR/Receipt, Return, Credit Memo.</t>
  </si>
  <si>
    <t>Current Status</t>
  </si>
  <si>
    <t>Sales Eco / BC / Logistics metadata</t>
  </si>
  <si>
    <t>Document-chain analysis.</t>
  </si>
  <si>
    <t>KPI-O2C-01</t>
  </si>
  <si>
    <t>Production order material/capacity/subcontracting/overhead costs and standard/expected comparisons</t>
  </si>
  <si>
    <t>Finance / Cost Accounting</t>
  </si>
  <si>
    <t>Supports chain-completeness controls.</t>
  </si>
  <si>
    <t>Digital Order Adoption</t>
  </si>
  <si>
    <t>Order, material cost, capacity cost, overhead, subcontracting, output qty, actual/expected/standard cost, variance</t>
  </si>
  <si>
    <t>3 closed accounting periods; representative product mix</t>
  </si>
  <si>
    <t>Digital eligible orders / all eligible orders</t>
  </si>
  <si>
    <t>EVT-010</t>
  </si>
  <si>
    <t>P2P-033</t>
  </si>
  <si>
    <t>Recalculate sampled production-order costs from source ledgers and verify cost adjustment/finished status</t>
  </si>
  <si>
    <t>Document_No</t>
  </si>
  <si>
    <t>Finance / Inventory / Production</t>
  </si>
  <si>
    <t>Order source, eligibility, organization, timestamp</t>
  </si>
  <si>
    <t>Spreadsheet-only cost; unsupported adjustment; unfinished order included as final actual cost</t>
  </si>
  <si>
    <t>TBD - first production sample</t>
  </si>
  <si>
    <t>Proves financial value/cost integrity of manufacturing</t>
  </si>
  <si>
    <t>Inventory &amp; GL Reconciliation</t>
  </si>
  <si>
    <t>Authoritative document number at the current step.</t>
  </si>
  <si>
    <t>E2 max until live data</t>
  </si>
  <si>
    <t>Reconcile production inventory and ledger</t>
  </si>
  <si>
    <t>Source document number</t>
  </si>
  <si>
    <t>Not assessed</t>
  </si>
  <si>
    <t>Pending costing extract</t>
  </si>
  <si>
    <t>Drill-through and chain linking.</t>
  </si>
  <si>
    <t>Sales Process Owner + Product/Data</t>
  </si>
  <si>
    <t>Reconcile production consumption/output/item ledger values to inventory valuation and G/L postings by company/location/dimension.</t>
  </si>
  <si>
    <t>Primary reconciliation evidence.</t>
  </si>
  <si>
    <t>No baseline published until digital and manual eligible populations reconcile.</t>
  </si>
  <si>
    <t>EV-P2P-23</t>
  </si>
  <si>
    <t>Business Central Inventory + Finance</t>
  </si>
  <si>
    <t>Ready for extraction design</t>
  </si>
  <si>
    <t>Production inventory-to-GL</t>
  </si>
  <si>
    <t>KPI-O2C-02</t>
  </si>
  <si>
    <t>EVT-011</t>
  </si>
  <si>
    <t>Finance / Inventory Controller</t>
  </si>
  <si>
    <t>Certified reconciliation joining production consumption/output, value entries and G/L</t>
  </si>
  <si>
    <t>Parent_Document_No</t>
  </si>
  <si>
    <t>CO→SO Straight-Through Rate</t>
  </si>
  <si>
    <t>Deterministic reconciliation + human exception handling</t>
  </si>
  <si>
    <t>Eligible COs converted to SO with zero human action events / eligible submitted COs</t>
  </si>
  <si>
    <t>Finance / Inventory / Data</t>
  </si>
  <si>
    <t>CO submit; human actions; SO create; correlation ID</t>
  </si>
  <si>
    <t>Production order, item/value/capacity entries, WIP/FG values, dimensions, G/L document/entry, variance</t>
  </si>
  <si>
    <t>Stable references; balanced control totals; posting-date/dimension controls; owned differences</t>
  </si>
  <si>
    <t>Immediate upstream document number or cross-reference.</t>
  </si>
  <si>
    <t>Rolling 3-6 periods; monthly certification</t>
  </si>
  <si>
    <t>Production inventory-to-GL reconciliation rate</t>
  </si>
  <si>
    <t>CO/SO/DO/DN/Invoice references</t>
  </si>
  <si>
    <t>Test quantity/value conservation and trace timing differences to owned explanations</t>
  </si>
  <si>
    <t>Builds parent-child document chain.</t>
  </si>
  <si>
    <t>Item/capacity/value/G/L entries, production order, dimensions, variance</t>
  </si>
  <si>
    <t>Unexplained imbalance; manual journal without order reference; unstable keys</t>
  </si>
  <si>
    <t>Detects orphan documents and broken lineage.</t>
  </si>
  <si>
    <t>Sales + ERP/Product</t>
  </si>
  <si>
    <t>Production BRD + Business Central</t>
  </si>
  <si>
    <t>Core production control-tower financial-integrity evidence</t>
  </si>
  <si>
    <t>Count integrations/system rules as automated, not human touches; approved exceptions separate.</t>
  </si>
  <si>
    <t>KPI-O2C-03</t>
  </si>
  <si>
    <t>EVT-012</t>
  </si>
  <si>
    <t>Correlation_ID</t>
  </si>
  <si>
    <t>Average CO→SO Cycle Time</t>
  </si>
  <si>
    <t>EV-P2P-24</t>
  </si>
  <si>
    <t>P2P-034</t>
  </si>
  <si>
    <t>Average(SO created - CO accepted/submitted)</t>
  </si>
  <si>
    <t>Production delay / blocker</t>
  </si>
  <si>
    <t>CO accepted timestamp; SO created timestamp; case/correlation key</t>
  </si>
  <si>
    <t>Exception &amp; Performance Management</t>
  </si>
  <si>
    <t>Structured blocker/downtime/exception log linked to order/operation/resource</t>
  </si>
  <si>
    <t>Integration correlation/client request ID used across API calls and retries.</t>
  </si>
  <si>
    <t>Production / Planning / Quality</t>
  </si>
  <si>
    <t>Sales Eco/BC integration + BC telemetry</t>
  </si>
  <si>
    <t>Order/operation, blocker category, start/end, owner, action, material/safety/quality impact, downtime</t>
  </si>
  <si>
    <t>Integration failure/retry reconstruction.</t>
  </si>
  <si>
    <t>Links business events to technical calls.</t>
  </si>
  <si>
    <t>Production Delay / Blocker</t>
  </si>
  <si>
    <t>Compare blocker logs to schedule deviations and identify missing off-system causes</t>
  </si>
  <si>
    <t>Record production interruption</t>
  </si>
  <si>
    <t>No reason code; manual meeting-note-only delays; no closure/owner</t>
  </si>
  <si>
    <t>EVT-013</t>
  </si>
  <si>
    <t>Provides root-cause evidence for production delay improvement</t>
  </si>
  <si>
    <t>Record material shortage, quality hold, machine/resource issue, process delay or other blocker affecting planned execution, with owner and recovery action.</t>
  </si>
  <si>
    <t>Production Control / Analytics Extension</t>
  </si>
  <si>
    <t>Core dimension</t>
  </si>
  <si>
    <t>Approved production exception record</t>
  </si>
  <si>
    <t>Case/Event</t>
  </si>
  <si>
    <t>At least 95% of sampled COs need valid SO link or documented exclusion before publishing.</t>
  </si>
  <si>
    <t>Pending structured exception evidence</t>
  </si>
  <si>
    <t>Operator / Supervisor / Planner</t>
  </si>
  <si>
    <t>AGI organization/SBU associated with the case.</t>
  </si>
  <si>
    <t>KPI-O2C-04</t>
  </si>
  <si>
    <t>EV-P2P-25</t>
  </si>
  <si>
    <t>Company/Sales Eco organization mapping</t>
  </si>
  <si>
    <t>Human/device exception capture + alerting</t>
  </si>
  <si>
    <t>AIL heat charge &amp; raw-material genealogy</t>
  </si>
  <si>
    <t>SBU segmentation and benchmarking.</t>
  </si>
  <si>
    <t>Prevents cross-company mixing.</t>
  </si>
  <si>
    <t>Heat/furnace charge record with scrap lots, weights, additions and operator/shift</t>
  </si>
  <si>
    <t>Auto-cleared credit checks / all credit-checked orders</t>
  </si>
  <si>
    <t>AIL SMS / Inventory / Production</t>
  </si>
  <si>
    <t>Standard reason taxonomy; owner/SLA; safety/quality exceptions not auto-overridden</t>
  </si>
  <si>
    <t>EVT-014</t>
  </si>
  <si>
    <t>Heat ID, furnace, scrap lot/type, charge weight, alloy/refractory additions, scale/source, operator, shift, start/end</t>
  </si>
  <si>
    <t>Credit check, limit, exposure, result, approval flag</t>
  </si>
  <si>
    <t>Responsibility_Center</t>
  </si>
  <si>
    <t>30-60 days of heats across shifts</t>
  </si>
  <si>
    <t>Production delay / blocker rate</t>
  </si>
  <si>
    <t>Reconcile heat input to inventory issues and subsequent heat/billet genealogy</t>
  </si>
  <si>
    <t>Order/operation, reason, start/end, owner, recovery action, downtime</t>
  </si>
  <si>
    <t>Responsibility Center used for credit, inventory, ownership and financial segmentation.</t>
  </si>
  <si>
    <t>Paper/WhatsApp-only heat record; no scrap-lot trace; weight not reconciled</t>
  </si>
  <si>
    <t>Finance / ICC + ERP</t>
  </si>
  <si>
    <t>Business Central / Sales Eco</t>
  </si>
  <si>
    <t>AIL-specific evidence for digitized steelmaking genealogy</t>
  </si>
  <si>
    <t>Every denominator case must have explicit check result; silent bypass is a data-quality failure.</t>
  </si>
  <si>
    <t>RC-level performance and exception analysis.</t>
  </si>
  <si>
    <t>Supports governed credit/inventory controls.</t>
  </si>
  <si>
    <t>Pending AIL production evidence</t>
  </si>
  <si>
    <t>KPI-O2C-05</t>
  </si>
  <si>
    <t>EV-P2P-26</t>
  </si>
  <si>
    <t>AIL chemistry / laboratory</t>
  </si>
  <si>
    <t>Credit Exception / Override Rate</t>
  </si>
  <si>
    <t>P2P-035</t>
  </si>
  <si>
    <t>Spectrometer/sample results, target chemistry, alloy additions and retest history by heat</t>
  </si>
  <si>
    <t>Exception / Control</t>
  </si>
  <si>
    <t>AIL Quality Lab / SMS</t>
  </si>
  <si>
    <t>Management / Production / QC / Finance</t>
  </si>
  <si>
    <t>Credit exception or approved override orders / credit-checked orders</t>
  </si>
  <si>
    <t>Heat/sample, elemental results, grade target/version, pre/post results, instrument/calibration, additions, analyst/operator, timestamps</t>
  </si>
  <si>
    <t>30-60 days; include adjusted/regraded heats</t>
  </si>
  <si>
    <t>Plan-to-Produce Monitoring</t>
  </si>
  <si>
    <t>Trace target chemistry through sample/result/adjustment/retest and verify instrument control</t>
  </si>
  <si>
    <t>Credit check result, approval request/decision, override reason</t>
  </si>
  <si>
    <t>Monitor end-to-end production performance</t>
  </si>
  <si>
    <t>WhatsApp-only result; sample not linked to heat; no instrument calibration; no addition trace</t>
  </si>
  <si>
    <t>Critical AIL quality/process evidence; suitable for AI assistance only after data quality is proven</t>
  </si>
  <si>
    <t>Track plan attainment, material readiness, cycle time, capacity, WIP, quality, yield, scrap, cost, human dependency, digital adoption and realized benefit.</t>
  </si>
  <si>
    <t>Finance / ICC</t>
  </si>
  <si>
    <t>Pending lab-system evidence</t>
  </si>
  <si>
    <t>Event data from Business Central and production/quality systems</t>
  </si>
  <si>
    <t>Separate approved override, rejection and unauthorized bypass.</t>
  </si>
  <si>
    <t>EV-P2P-27</t>
  </si>
  <si>
    <t>AIL liquid-metal / ladle / CCM measurement</t>
  </si>
  <si>
    <t>KPI-O2C-06</t>
  </si>
  <si>
    <t>Instrument/device or controlled measurement record for furnace tapping, ladle/tundish quantity and CCM/billet output</t>
  </si>
  <si>
    <t>SO→DO Cycle Time</t>
  </si>
  <si>
    <t>AIL Production / Engineering</t>
  </si>
  <si>
    <t>Heat, furnace, tapped qty/weight, ladle/tundish quantity, measurement source, CCM output, billet quantity/weight, timestamps</t>
  </si>
  <si>
    <t>Average(DO created - SO eligible/approved)</t>
  </si>
  <si>
    <t>Stable case/order IDs; event timestamps; KPI lineage; production evidence; no false precision from project progress</t>
  </si>
  <si>
    <t>Current capability assessment + 30-day events if available</t>
  </si>
  <si>
    <t>Plan-to-Produce end-to-end cycle time</t>
  </si>
  <si>
    <t>SO eligibility/approval and DO creation timestamps</t>
  </si>
  <si>
    <t>Verify whether direct measurement technology exists; if absent, document estimation method and confidence</t>
  </si>
  <si>
    <t>Cross-system production event log with order/operation/material/QC/cost events</t>
  </si>
  <si>
    <t>No direct measurement; inferred quantities with no confidence/control basis</t>
  </si>
  <si>
    <t>Known BRD instrumentation gap and a major blocker to precise metallic-yield analytics</t>
  </si>
  <si>
    <t>Known gap; instrumentation evidence required</t>
  </si>
  <si>
    <t>Define one SO-ready event and use it consistently across SBUs.</t>
  </si>
  <si>
    <t>EV-P2P-28</t>
  </si>
  <si>
    <t>AIL rolling / TMT parameters</t>
  </si>
  <si>
    <t>KPI-O2C-07</t>
  </si>
  <si>
    <t>P2P-036</t>
  </si>
  <si>
    <t>Billet-to-rebar operation events covering reheating, rolling, TMT/quench and bundle genealogy</t>
  </si>
  <si>
    <t>Production - AIL Variant</t>
  </si>
  <si>
    <t>AIL Rolling / Quality</t>
  </si>
  <si>
    <t>AIL Steelmaking Execution</t>
  </si>
  <si>
    <t>Billet ID, furnace temp/time, stand/pass/speed, TMT flow/pressure, final dia/length, bundle, heat, timestamps</t>
  </si>
  <si>
    <t>Scrap Preparation &amp; Furnace Charging</t>
  </si>
  <si>
    <t>30-60 days; representative sizes/grades</t>
  </si>
  <si>
    <t>Orders with multi-delivery or positive undelivered balance after first delivery / eligible fulfilled orders</t>
  </si>
  <si>
    <t>Prepare and charge heat</t>
  </si>
  <si>
    <t>SO qty, DO/DN qty, delivered qty, outstanding qty, split reason</t>
  </si>
  <si>
    <t>Record sorted scrap lots, scale weight, heat/furnace ID, charge weight, operator/shift and material composition used for each melting heat.</t>
  </si>
  <si>
    <t>EVT-015</t>
  </si>
  <si>
    <t>Production / Inventory / Shop-Floor Extension</t>
  </si>
  <si>
    <t>Territory</t>
  </si>
  <si>
    <t>Approved heat/production record</t>
  </si>
  <si>
    <t>Trace billet through route to bundle and compare critical parameters to approved process window</t>
  </si>
  <si>
    <t>SMS Operator / Inventory</t>
  </si>
  <si>
    <t>No billet-to-bundle link; parameter data offline; manual bundle genealogy</t>
  </si>
  <si>
    <t>Human/device capture with inventory linkage</t>
  </si>
  <si>
    <t>Shows AIL rolling execution and quality traceability maturity</t>
  </si>
  <si>
    <t>Sales / Logistics / Inventory</t>
  </si>
  <si>
    <t>Sales territory associated with the case.</t>
  </si>
  <si>
    <t>Sales Eco territory master / BC mapping</t>
  </si>
  <si>
    <t>Tag intentional planned splits separately from stock/logistics-driven partials.</t>
  </si>
  <si>
    <t>Heat ID uniqueness; scale/instrument trace; scrap-lot genealogy; material quantity conservation</t>
  </si>
  <si>
    <t>Territory adoption and service analysis.</t>
  </si>
  <si>
    <t>Pending shop-floor/device evidence</t>
  </si>
  <si>
    <t>Heat charge digital capture rate</t>
  </si>
  <si>
    <t>Supports ownership and drill-down.</t>
  </si>
  <si>
    <t>KPI-O2C-08</t>
  </si>
  <si>
    <t>EV-P2P-29</t>
  </si>
  <si>
    <t>Heat, furnace, scrap lot/type, weight, scale, operator, shift, timestamps</t>
  </si>
  <si>
    <t>AIL final lab / bundle release</t>
  </si>
  <si>
    <t>AIL Production BRD + Production Data Record</t>
  </si>
  <si>
    <t>DO→Dispatch Cycle Time</t>
  </si>
  <si>
    <t>EVT-016</t>
  </si>
  <si>
    <t>Mechanical/physical test results linked to heat/bundle and final inventory release</t>
  </si>
  <si>
    <t>Average(dispatch - DO ready)</t>
  </si>
  <si>
    <t>AIL Quality Lab / Inventory</t>
  </si>
  <si>
    <t>Customer_ID</t>
  </si>
  <si>
    <t>Heat/bundle/sample, diameter, unit weight, yield/tensile, elongation, bend/rebend, rib geometry, limits, pass/fail, release</t>
  </si>
  <si>
    <t>DO ready, loading, gate and dispatch timestamps</t>
  </si>
  <si>
    <t>P2P-037</t>
  </si>
  <si>
    <t>Trace sample result to bundle and verify failed material cannot be released as good inventory</t>
  </si>
  <si>
    <t>E1-E2 until live logistics events</t>
  </si>
  <si>
    <t>Production / QC - AIL Variant</t>
  </si>
  <si>
    <t>Canonical customer number/identity.</t>
  </si>
  <si>
    <t>Report not linked to bundle; WhatsApp/manual status; failed bundle available</t>
  </si>
  <si>
    <t>Business Central Customer No. + Sales Eco mapping</t>
  </si>
  <si>
    <t>Final AIL quality-to-inventory control evidence</t>
  </si>
  <si>
    <t>Melting Chemistry &amp; Alloy Adjustment</t>
  </si>
  <si>
    <t>Customer segmentation and repeat-case analysis.</t>
  </si>
  <si>
    <t>Missing gate/dispatch timestamps must be reported as coverage gaps, not imputed.</t>
  </si>
  <si>
    <t>Test and adjust heat chemistry</t>
  </si>
  <si>
    <t>Prevents duplicate customer lineage.</t>
  </si>
  <si>
    <t>Capture spectrometer results, compare with target grade chemistry, record alloy/chemical additions and repeat tests until approved for casting.</t>
  </si>
  <si>
    <t>Pending lab/release evidence</t>
  </si>
  <si>
    <t>KPI-O2C-09</t>
  </si>
  <si>
    <t>Lab/Quality + Production Extension</t>
  </si>
  <si>
    <t>EV-P2P-30</t>
  </si>
  <si>
    <t>EVT-017</t>
  </si>
  <si>
    <t>Heat quality record</t>
  </si>
  <si>
    <t>Actor_User_ID</t>
  </si>
  <si>
    <t>Lab Chemist / Melter / Shift In-Charge</t>
  </si>
  <si>
    <t>Device result + deterministic limit check + human adjustment</t>
  </si>
  <si>
    <t>Completed deliveries with complete required digital POD / completed deliveries</t>
  </si>
  <si>
    <t>P2P event-log completeness</t>
  </si>
  <si>
    <t>Delivery complete; POD evidence; recipient; timestamp; exception</t>
  </si>
  <si>
    <t>Instrument calibration; sample identity; versioned chemistry targets; alloy issue trace; no auto-addition without safety governance</t>
  </si>
  <si>
    <t>Chemistry first-pass rate / adjustment count</t>
  </si>
  <si>
    <t>User/system identity executing or triggering the event.</t>
  </si>
  <si>
    <t>Heat/sample, elemental result, target limits, alloy additions, instrument, operator/time</t>
  </si>
  <si>
    <t>Audit/workflow logs; integration identity</t>
  </si>
  <si>
    <t>Case ID/production order, process step ID, activity, event timestamp, actor/source, item/grade, SBU/plant, outcome/exception</t>
  </si>
  <si>
    <t>Resource analysis and human-touch measurement.</t>
  </si>
  <si>
    <t>Rolling 90 days; daily/shift refresh where operationalized</t>
  </si>
  <si>
    <t>AIL Production BRD + AIL Report Analysis</t>
  </si>
  <si>
    <t>Supports accountability and SoD review.</t>
  </si>
  <si>
    <t>Verify required milestone/operation events, timestamp credibility and joinability across planning, production, QC, inventory and finance</t>
  </si>
  <si>
    <t>Missing activity/time/case ID; unjoinable production chain; batch-entered retrospective events</t>
  </si>
  <si>
    <t>EVT-018</t>
  </si>
  <si>
    <t>POD completeness criteria must be defined by SBU/channel before baseline publication.</t>
  </si>
  <si>
    <t>Actor_Role</t>
  </si>
  <si>
    <t>P2P-038</t>
  </si>
  <si>
    <t>KPI-O2C-10</t>
  </si>
  <si>
    <t>Business/system role responsible for the event.</t>
  </si>
  <si>
    <t>Role/permission master</t>
  </si>
  <si>
    <t>Role-based handoff analysis.</t>
  </si>
  <si>
    <t>Ladle Transfer &amp; Continuous Casting</t>
  </si>
  <si>
    <t>Supports SoD and operating-model analysis.</t>
  </si>
  <si>
    <t>Transfer and cast molten steel</t>
  </si>
  <si>
    <t>Deliveries with shortage/damage/rejection/partial exception / delivery attempts</t>
  </si>
  <si>
    <t>Record ladle transfer, heat/grade, CCM/strand, casting start/end, cast speed, billet output and available process parameters.</t>
  </si>
  <si>
    <t>EVT-019</t>
  </si>
  <si>
    <t>Delivery attempt, delivered qty, exception code, reason</t>
  </si>
  <si>
    <t>Execution_Type</t>
  </si>
  <si>
    <t>Production / Shop-Floor Extension</t>
  </si>
  <si>
    <t>Heat/billet production record</t>
  </si>
  <si>
    <t>Enum</t>
  </si>
  <si>
    <t>Human, System Rule, Integration, AI Assist, Agent or Device.</t>
  </si>
  <si>
    <t>SMS/CCM Operator</t>
  </si>
  <si>
    <t>Derived from actor/event metadata</t>
  </si>
  <si>
    <t>STP, automation and human-dependency metrics.</t>
  </si>
  <si>
    <t>Prevents confusing digital with automated execution.</t>
  </si>
  <si>
    <t>Use governed reason taxonomy; missing reason is not treated as no exception.</t>
  </si>
  <si>
    <t>EVT-020</t>
  </si>
  <si>
    <t>KPI-O2C-11</t>
  </si>
  <si>
    <t>Heat-to-billet genealogy; parameter timestamp/source; output quantity control; known instrumentation gaps flagged</t>
  </si>
  <si>
    <t>Status_Before</t>
  </si>
  <si>
    <t>Heat-to-billet genealogy completeness</t>
  </si>
  <si>
    <t>Delivery→Invoice Cycle Time</t>
  </si>
  <si>
    <t>Heat, ladle, CCM, strand, billet ID, start/end, cast speed, output qty/weight</t>
  </si>
  <si>
    <t>Status immediately before transition.</t>
  </si>
  <si>
    <t>Average(invoice posted - eligible delivery confirmation)</t>
  </si>
  <si>
    <t>DN/shipment/POD eligibility and invoice posting timestamps</t>
  </si>
  <si>
    <t>E2 max until live posting sample</t>
  </si>
  <si>
    <t>Audit/status history</t>
  </si>
  <si>
    <t>Transition and rework analysis.</t>
  </si>
  <si>
    <t>P2P-039</t>
  </si>
  <si>
    <t>Invoice must reconcile to source delivery and quantity/amount before latency is accepted.</t>
  </si>
  <si>
    <t>Detects invalid/repeated state changes.</t>
  </si>
  <si>
    <t>EV-P2P-31</t>
  </si>
  <si>
    <t>AIL Rolling Execution</t>
  </si>
  <si>
    <t>KPI-O2C-12</t>
  </si>
  <si>
    <t>EVT-021</t>
  </si>
  <si>
    <t>Human-action classification and sampled time study across planning, production administration, quality and reconciliation</t>
  </si>
  <si>
    <t>Reheating, Rolling &amp; TMT</t>
  </si>
  <si>
    <t>Status_After</t>
  </si>
  <si>
    <t>Execute billet reheating and rolling route</t>
  </si>
  <si>
    <t>L5/L6 step, role, action type, manual/system/automation, active time, frequency, exception/control classification</t>
  </si>
  <si>
    <t>Approved digital, ERP-linked receipts / eligible customer receipts</t>
  </si>
  <si>
    <t>Representative 2-4 weeks across shifts/product families</t>
  </si>
  <si>
    <t>Record billet input, reheating temperature/time, rolling speed/pass/stand data, TMT water/pressure and size-specific process parameters.</t>
  </si>
  <si>
    <t>Reconcile observed paper/Excel/WhatsApp/manual coordination to system logs; separate physical work from avoidable administrative handling</t>
  </si>
  <si>
    <t>MR/receipt source, BC posting, bank/customer reference</t>
  </si>
  <si>
    <t>Status immediately after transition.</t>
  </si>
  <si>
    <t>Production / Shop-Floor / Quality Extension</t>
  </si>
  <si>
    <t>Unmeasured offline work; machine cycle confused with human time; mandatory QC treated as waste</t>
  </si>
  <si>
    <t>Production event record</t>
  </si>
  <si>
    <t>Required before Human Dependency Index is decision-grade</t>
  </si>
  <si>
    <t>Supports approval/rejection/reversal trace.</t>
  </si>
  <si>
    <t>E2 max until live receipt sample</t>
  </si>
  <si>
    <t>Rolling Operator / Quality</t>
  </si>
  <si>
    <t>Device capture where available + human oversight</t>
  </si>
  <si>
    <t>EVT-022</t>
  </si>
  <si>
    <t>Manual/off-system receipts remain in denominator or are explicitly excluded.</t>
  </si>
  <si>
    <t>Quantity</t>
  </si>
  <si>
    <t>EV-P2P-32</t>
  </si>
  <si>
    <t>Required for quantity events</t>
  </si>
  <si>
    <t>KPI-O2C-13</t>
  </si>
  <si>
    <t>Approved route/parameter limits; billet trace; safety interlocks remain equipment-controlled; instrument/event audit</t>
  </si>
  <si>
    <t>Decimal</t>
  </si>
  <si>
    <t>Approved baseline-vs-post-change manufacturing KPI and benefit pack</t>
  </si>
  <si>
    <t>Quantity affected by the event in governed UOM.</t>
  </si>
  <si>
    <t>Rolling process parameter compliance</t>
  </si>
  <si>
    <t>Production Process Owner / Finance / Quality / Transformation Office</t>
  </si>
  <si>
    <t>Order/delivery/inventory lines</t>
  </si>
  <si>
    <t>Payment Auto-Application / First-Pass Match Rate</t>
  </si>
  <si>
    <t>Baseline/post period, normalized product mix/volume, cycle time, yield, scrap, energy, cost, quality, human effort, adoption, controls, assumptions</t>
  </si>
  <si>
    <t>Billet, furnace temp/time, stand/pass/speed, TMT flow/pressure, operator/time</t>
  </si>
  <si>
    <t>Partial fulfillment, delivery and return analysis.</t>
  </si>
  <si>
    <t>Eligible payments applied without manual correction / eligible payments</t>
  </si>
  <si>
    <t>Verify comparable product/process scope, attributable change, no safety/quality/control degradation and owner/Finance sign-off</t>
  </si>
  <si>
    <t>Quantity-balance reconciliation.</t>
  </si>
  <si>
    <t>Claimed savings without baseline; mix distortion; quality or safety degradation; benefit not sustained</t>
  </si>
  <si>
    <t>Receipt, invoice/open entry, application event, manual correction event</t>
  </si>
  <si>
    <t>Only E5 should be treated as verified realized production transformation value</t>
  </si>
  <si>
    <t>EVT-023</t>
  </si>
  <si>
    <t>E2 max until live application sample</t>
  </si>
  <si>
    <t>UOM</t>
  </si>
  <si>
    <t>P2P-040</t>
  </si>
  <si>
    <t>Production / QC / Inventory - AIL Variant</t>
  </si>
  <si>
    <t>Unit of measure for Quantity.</t>
  </si>
  <si>
    <t>Separate automatic application from system suggestion requiring human confirmation.</t>
  </si>
  <si>
    <t>Item/order/delivery line</t>
  </si>
  <si>
    <t>Cooling, Cutting &amp; Bundling</t>
  </si>
  <si>
    <t>Correct aggregation and conversion.</t>
  </si>
  <si>
    <t>KPI-O2C-14</t>
  </si>
  <si>
    <t>Create finished rebar bundles</t>
  </si>
  <si>
    <t>Prevents MT/KG/RFT/piece interpretation errors.</t>
  </si>
  <si>
    <t>Record final diameter/length, count, weight, bundle ID, parent billet/heat genealogy and release status before finished-goods storage.</t>
  </si>
  <si>
    <t>End-to-End Document-Chain Reconciliation Rate</t>
  </si>
  <si>
    <t>Production / Warehouse / Quality Extension</t>
  </si>
  <si>
    <t>EVT-024</t>
  </si>
  <si>
    <t>FG bundle + inventory record</t>
  </si>
  <si>
    <t>Fully reconciled eligible CO→SO→DO→DN→Invoice→Receipt/Return chains / eligible completed chains</t>
  </si>
  <si>
    <t>Amount</t>
  </si>
  <si>
    <t>Production / Warehouse / Quality</t>
  </si>
  <si>
    <t>Required for financial events</t>
  </si>
  <si>
    <t>All cross-document references, quantities, amounts and statuses</t>
  </si>
  <si>
    <t>Event/Case</t>
  </si>
  <si>
    <t>Human/device capture + deterministic genealogy</t>
  </si>
  <si>
    <t>Monetary value associated with event/document.</t>
  </si>
  <si>
    <t>E1-E2 until live reconciliation</t>
  </si>
  <si>
    <t>BC order/invoice/ledger/receipt</t>
  </si>
  <si>
    <t>Financial-per-case and value-flow analysis.</t>
  </si>
  <si>
    <t>Amount reconciliation and exposure.</t>
  </si>
  <si>
    <t>Finance + Product/Data</t>
  </si>
  <si>
    <t>Unique bundle ID; heat/billet genealogy; digital weight/count; QC release before available inventory</t>
  </si>
  <si>
    <t>Unmatched documents stay visible with owner and age; never drop from denominator.</t>
  </si>
  <si>
    <t>EVT-025</t>
  </si>
  <si>
    <t>Currency</t>
  </si>
  <si>
    <t>Bundle genealogy / weight accuracy</t>
  </si>
  <si>
    <t>Bundle ID, heat/billet, dia/length, count, weight, location, QC status</t>
  </si>
  <si>
    <t>KPI-O2C-15</t>
  </si>
  <si>
    <t>Jira Key</t>
  </si>
  <si>
    <t>Currency code for Amount.</t>
  </si>
  <si>
    <t>Human Touches per O2C Case</t>
  </si>
  <si>
    <t>Business Central document/ledger</t>
  </si>
  <si>
    <t>Correct financial aggregation.</t>
  </si>
  <si>
    <t>Distinct human action events / completed O2C cases</t>
  </si>
  <si>
    <t>Prevents cross-currency false reconciliation.</t>
  </si>
  <si>
    <t>Actor, role, execution type, activity, case ID</t>
  </si>
  <si>
    <t>Summary</t>
  </si>
  <si>
    <t>P2P-041</t>
  </si>
  <si>
    <t>O2C Segment</t>
  </si>
  <si>
    <t>EVT-026</t>
  </si>
  <si>
    <t>E1-E2 until events classified</t>
  </si>
  <si>
    <t>QC - AIL Variant</t>
  </si>
  <si>
    <t>Approval_Required</t>
  </si>
  <si>
    <t>Related Process Steps</t>
  </si>
  <si>
    <t>AIL Final Quality</t>
  </si>
  <si>
    <t>Process Owner + Product/Data</t>
  </si>
  <si>
    <t>Current Jira Status</t>
  </si>
  <si>
    <t>Exclude passive views/system events; include approvals, corrections, entries, reconciliations and exception actions.</t>
  </si>
  <si>
    <t>Mechanical / Physical Lab Testing</t>
  </si>
  <si>
    <t>Boolean</t>
  </si>
  <si>
    <t>Resolution</t>
  </si>
  <si>
    <t>Test finished rebar properties</t>
  </si>
  <si>
    <t>Whether formal human approval was required.</t>
  </si>
  <si>
    <t>Evidence Contribution</t>
  </si>
  <si>
    <t>Workflow/approval rules</t>
  </si>
  <si>
    <t>Record diameter, unit weight, yield/tensile strength, elongation, bend/rebend, rib geometry and related sample position results against approved standard.</t>
  </si>
  <si>
    <t>Evidence Ceiling</t>
  </si>
  <si>
    <t>Human-dependency and exception-path analysis.</t>
  </si>
  <si>
    <t>Separates controlled approvals from avoidable touches.</t>
  </si>
  <si>
    <t>Calibration Interpretation</t>
  </si>
  <si>
    <t>Final quality test record</t>
  </si>
  <si>
    <t>Jira URL</t>
  </si>
  <si>
    <t>Quality Lab</t>
  </si>
  <si>
    <t>EVT-027</t>
  </si>
  <si>
    <t>Device/manual result capture + limit evaluation</t>
  </si>
  <si>
    <t>Reviewed On</t>
  </si>
  <si>
    <t>Approval_Decision</t>
  </si>
  <si>
    <t>Sample/heat/bundle trace; calibrated equipment; versioned limits; reviewer sign-off; result change log</t>
  </si>
  <si>
    <t>Final mechanical test pass rate</t>
  </si>
  <si>
    <t>BSES-1331</t>
  </si>
  <si>
    <t>Approved, Rejected, Sent Back, Cancelled or Not Applicable.</t>
  </si>
  <si>
    <t>Heat/bundle/sample, test values, limits, instrument, analyst, pass/fail</t>
  </si>
  <si>
    <t>Dealer onboarding Cash/Credit ICC terms condition rule</t>
  </si>
  <si>
    <t>AIL Report Analysis</t>
  </si>
  <si>
    <t>Approval variants and cycle-time analysis.</t>
  </si>
  <si>
    <t>Customer onboarding</t>
  </si>
  <si>
    <t>Control decision evidence.</t>
  </si>
  <si>
    <t>QA In Review</t>
  </si>
  <si>
    <t>P2P-042</t>
  </si>
  <si>
    <t>Open</t>
  </si>
  <si>
    <t>EVT-028</t>
  </si>
  <si>
    <t>Production / Finance - AIL Variant</t>
  </si>
  <si>
    <t>Confirms active QA of customer-onboarding rule across Primary Sales organizations.</t>
  </si>
  <si>
    <t>Exception_Code</t>
  </si>
  <si>
    <t>AIL Production Economics</t>
  </si>
  <si>
    <t>E2 candidate</t>
  </si>
  <si>
    <t>Energy, Yield &amp; Loss Analysis</t>
  </si>
  <si>
    <t>Supports configured/delivered evidence only; does not prove live adoption or approval performance.</t>
  </si>
  <si>
    <t>Analyze heat/mill efficiency</t>
  </si>
  <si>
    <t>Measure energy consumption, metallic yield, burning loss, slag, end-cut, mill scale and other production losses by heat/order/period.</t>
  </si>
  <si>
    <t>https://anwarenterprisesystem.atlassian.net/browse/BSES-1331</t>
  </si>
  <si>
    <t>Normalized business exception/rework reason.</t>
  </si>
  <si>
    <t>Production Data + Business Central + BI</t>
  </si>
  <si>
    <t>Application error/exception/rejection reason</t>
  </si>
  <si>
    <t>Verified production/inventory/cost events</t>
  </si>
  <si>
    <t>Root-cause and variant analysis.</t>
  </si>
  <si>
    <t>Production Manager / Finance / Energy Analyst</t>
  </si>
  <si>
    <t>Analytics; future AI recommendation only</t>
  </si>
  <si>
    <t>Supports owned exception queues.</t>
  </si>
  <si>
    <t>Meter/source lineage; loss taxonomy; quantity/value reconciliation; no autonomous process-control action</t>
  </si>
  <si>
    <t>Energy per ton / metallic yield / loss rate</t>
  </si>
  <si>
    <t>EVT-029</t>
  </si>
  <si>
    <t>Heat/order energy, input weight, output weight, loss categories, by-product recovery, cost</t>
  </si>
  <si>
    <t>Override_Flag</t>
  </si>
  <si>
    <t>AIL Production BRD + Report Analysis</t>
  </si>
  <si>
    <t>Indicates an authorized override of a standard control/rule.</t>
  </si>
  <si>
    <t>Approval/audit/custom workflow logs</t>
  </si>
  <si>
    <t>Exception and human-dependency metrics.</t>
  </si>
  <si>
    <t>Risk/control evidence; distinguish approved override from bypass.</t>
  </si>
  <si>
    <t>EVT-030</t>
  </si>
  <si>
    <t>Technical_Result</t>
  </si>
  <si>
    <t>Success/failure/retry/HTTP result for integration-driven events.</t>
  </si>
  <si>
    <t>Business Central web-service telemetry + app integration logs</t>
  </si>
  <si>
    <t>Integration reliability and retry analysis.</t>
  </si>
  <si>
    <t>Links business failure to technical cause.</t>
  </si>
  <si>
    <t>EVT-031</t>
  </si>
  <si>
    <t>Item_ID</t>
  </si>
  <si>
    <t>Required for line-level quantity events</t>
  </si>
  <si>
    <t>Canonical item/SKU identifier associated with an order, delivery, invoice or return line.</t>
  </si>
  <si>
    <t>Sales Eco product/SKU mapping + Business Central Item No./item ID</t>
  </si>
  <si>
    <t>Item-level availability, fulfilment, return and exception analysis.</t>
  </si>
  <si>
    <t>Required for line-level quantity reconciliation.</t>
  </si>
  <si>
    <t>BSES-1336</t>
  </si>
  <si>
    <t>ZSM create Customer Order</t>
  </si>
  <si>
    <t>Confirms Customer Order capability exists in QA flow.</t>
  </si>
  <si>
    <t>Cannot be treated as production execution evidence until live CO transactions are sampled.</t>
  </si>
  <si>
    <t>https://anwarenterprisesystem.atlassian.net/browse/BSES-1336</t>
  </si>
  <si>
    <t>EVT-032</t>
  </si>
  <si>
    <t>Location_Code</t>
  </si>
  <si>
    <t>Warehouse/location/source code relevant to stock, reservation, delivery and posting events.</t>
  </si>
  <si>
    <t>Business Central location + Sales Eco/Logistics assignment context</t>
  </si>
  <si>
    <t>Source-location, stockout and fulfilment analysis.</t>
  </si>
  <si>
    <t>Supports organization/RC/location control and reconciliation.</t>
  </si>
  <si>
    <t>EVT-033</t>
  </si>
  <si>
    <t>Document_Line_ID</t>
  </si>
  <si>
    <t>Stable line-level identifier or governed composite key for document-line reconciliation.</t>
  </si>
  <si>
    <t>Sales Eco line ID / Business Central line ID or line number / Logistics line reference</t>
  </si>
  <si>
    <t>Line-level chain matching and partial-fulfilment analysis.</t>
  </si>
  <si>
    <t>Prevents quantity aggregation from hiding line-level mismatches.</t>
  </si>
  <si>
    <t>Pack ID</t>
  </si>
  <si>
    <t>Evidence Pack</t>
  </si>
  <si>
    <t>Primary Owner</t>
  </si>
  <si>
    <t>Source System</t>
  </si>
  <si>
    <t>Scope / Required Extract</t>
  </si>
  <si>
    <t>Preferred Window</t>
  </si>
  <si>
    <t>Join / Key Requirement</t>
  </si>
  <si>
    <t>Primary KPIs Enabled</t>
  </si>
  <si>
    <t>Minimum Acceptance</t>
  </si>
  <si>
    <t>COL-O2C-01</t>
  </si>
  <si>
    <t>Customer Order event extract</t>
  </si>
  <si>
    <t>BSES-1411</t>
  </si>
  <si>
    <t>Sales Product / Data</t>
  </si>
  <si>
    <t>SO add ZSM Customer Order create permission</t>
  </si>
  <si>
    <t>Order intake / access</t>
  </si>
  <si>
    <t>Customer Order header/lines plus create, submit, approve/reject/correct/cancel status history and actor timestamps.</t>
  </si>
  <si>
    <t>Last 30-60 days</t>
  </si>
  <si>
    <t>Done</t>
  </si>
  <si>
    <t>CO ID; organization; customer; user; RC; correlation/external ID</t>
  </si>
  <si>
    <t>Confirms role-permission implementation work completed.</t>
  </si>
  <si>
    <t>Digital Order Adoption; CO→SO STP; CO→SO Cycle; Human Touches</t>
  </si>
  <si>
    <t>Permission delivery supports configured state, not actual usage/adoption.</t>
  </si>
  <si>
    <t>Reconcile order counts to application totals and sample 20 cases back to UI/source records.</t>
  </si>
  <si>
    <t>https://anwarenterprisesystem.atlassian.net/browse/BSES-1411</t>
  </si>
  <si>
    <t>≥98% event rows have CO ID and timestamp; ≥95% eligible COs carry usable downstream linkage or documented exclusion.</t>
  </si>
  <si>
    <t>P0</t>
  </si>
  <si>
    <t>Ready to request</t>
  </si>
  <si>
    <t>COL-O2C-02</t>
  </si>
  <si>
    <t>Sales Eco→BC integration telemetry</t>
  </si>
  <si>
    <t>ERP Integration / Engineering</t>
  </si>
  <si>
    <t>Integration service + Business Central telemetry</t>
  </si>
  <si>
    <t>Request/response logs for customer, CO/SO and other O2C APIs including endpoint, correlation/client-request-id, HTTP result, retry and elapsed time.</t>
  </si>
  <si>
    <t>Correlation_ID / client-request-id mapped to CO/customer/SO where available</t>
  </si>
  <si>
    <t>CO→SO STP; integration failure rate; cycle time</t>
  </si>
  <si>
    <t>Compare integration call counts with source requests and BC-created records.</t>
  </si>
  <si>
    <t>No unexplained success/failure gap above 2%; retries and failures traceable to source case.</t>
  </si>
  <si>
    <t>COL-O2C-03</t>
  </si>
  <si>
    <t>BC Sales Order / Delivery / Invoice chain</t>
  </si>
  <si>
    <t>ERP / Finance</t>
  </si>
  <si>
    <t>Sales Order, shipment/DN, posted invoice and related ledger references with document numbers, dates, customer, RC, quantities, amounts, statuses and source references.</t>
  </si>
  <si>
    <t>SO No.; source CO/external ID; shipment/DN ref; invoice No.; customer; RC</t>
  </si>
  <si>
    <t>CO→SO Cycle; SO→DO/dispatch; Delivery→Invoice; chain reconciliation</t>
  </si>
  <si>
    <t>Select 30 completed cases and trace each upstream/downstream document and amount/quantity conservation.</t>
  </si>
  <si>
    <t>≥95% sampled completed cases reconstructable without manual guesswork; all exceptions explicitly classified.</t>
  </si>
  <si>
    <t>COL-O2C-04</t>
  </si>
  <si>
    <t>Credit check &amp; approval evidence</t>
  </si>
  <si>
    <t>Business Central / approval workflow</t>
  </si>
  <si>
    <t>Credit limit/exposure snapshot, check result, exception flag, approval request/decision, approver and timestamps per order.</t>
  </si>
  <si>
    <t>SO/CO No.; customer; RC; approval entry ID</t>
  </si>
  <si>
    <t>Credit Auto-Clear; Credit Exception; Credit Approval Cycle</t>
  </si>
  <si>
    <t>Sample passed, failed and overridden cases against policy and authority matrix.</t>
  </si>
  <si>
    <t>Every sampled order has an explicit check outcome or documented policy exclusion; overrides are attributable.</t>
  </si>
  <si>
    <t>COL-O2C-05</t>
  </si>
  <si>
    <t>Inventory availability &amp; reservation extract</t>
  </si>
  <si>
    <t>Inventory / ERP</t>
  </si>
  <si>
    <t>Availability check inputs/results, reservation entries, release events, location/bin, item, quantity and order reference.</t>
  </si>
  <si>
    <t>SO/DO line; item; location; reservation entry</t>
  </si>
  <si>
    <t>Stock Availability Pass; Reservation Automation; Partial Fulfillment</t>
  </si>
  <si>
    <t>Trace shortages and reservation changes to actual inventory ledger and order balances.</t>
  </si>
  <si>
    <t>≥95% sampled reserved lines trace to valid SO/DO and inventory location; orphan reservations flagged.</t>
  </si>
  <si>
    <t>P1</t>
  </si>
  <si>
    <t>COL-O2C-06</t>
  </si>
  <si>
    <t>Logistics planning / DO extract</t>
  </si>
  <si>
    <t>Logistics Product / Operations</t>
  </si>
  <si>
    <t>DO creation, source selection, trip grouping, vehicle/driver assignment, loading advice and readiness events.</t>
  </si>
  <si>
    <t>DO No.; SO No.; trip ID; source location; vehicle ID</t>
  </si>
  <si>
    <t>SO→DO Cycle; Partial Fulfillment; Human Touches</t>
  </si>
  <si>
    <t>Reconcile planned DO quantities to SO remaining quantity and actual loading/dispatch.</t>
  </si>
  <si>
    <t>BSES-1538</t>
  </si>
  <si>
    <t>No DO exceeds authorized outstanding quantity; parent SO reference present for ≥98% of eligible DOs.</t>
  </si>
  <si>
    <t>Invoice Tally Sync</t>
  </si>
  <si>
    <t>Invoice synchronization</t>
  </si>
  <si>
    <t>COL-O2C-07</t>
  </si>
  <si>
    <t>Loading / gate / dispatch event extract</t>
  </si>
  <si>
    <t>Shows invoice integration/synchronization remains under QA.</t>
  </si>
  <si>
    <t>Logistics App / gate / weighbridge</t>
  </si>
  <si>
    <t>Loading start/complete, loaded quantity, discrepancy, gate-in/out, dispatch status, vehicle and user/device timestamps.</t>
  </si>
  <si>
    <t>Invoice process cannot be promoted beyond E2 without posted invoice and sync evidence.</t>
  </si>
  <si>
    <t>Trip ID; DO No.; vehicle ID</t>
  </si>
  <si>
    <t>https://anwarenterprisesystem.atlassian.net/browse/BSES-1538</t>
  </si>
  <si>
    <t>DO→Dispatch Cycle; Gate Dwell; Dispatch On-Time; Loading Accuracy</t>
  </si>
  <si>
    <t>Cross-check sample events with gate register/weighbridge/physical dispatch evidence where available.</t>
  </si>
  <si>
    <t>Timestamp coverage ≥90% for pilot scope before publishing cycle-time metrics; missing events shown explicitly.</t>
  </si>
  <si>
    <t>COL-O2C-08</t>
  </si>
  <si>
    <t>POD &amp; delivery exception extract</t>
  </si>
  <si>
    <t>Mapping ID</t>
  </si>
  <si>
    <t>Delivery attempt, delivered quantity, POD recipient/evidence/time, partial/shortage/damage/rejection exception and follow-up action.</t>
  </si>
  <si>
    <t>Event Field</t>
  </si>
  <si>
    <t>Trip ID; DO/DN No.; customer; delivery attempt ID</t>
  </si>
  <si>
    <t>POD Capture; Delivery Exception; OTIF/partial fulfillment</t>
  </si>
  <si>
    <t>Sample POD records against actual delivered quantity and exception actions.</t>
  </si>
  <si>
    <t>POD completeness rules agreed; missing proof and missing exception reason visible rather than excluded.</t>
  </si>
  <si>
    <t>BSES-1792</t>
  </si>
  <si>
    <t>MR bank subbranch sync to Dynamics</t>
  </si>
  <si>
    <t>COL-O2C-09</t>
  </si>
  <si>
    <t>Collection / receipt</t>
  </si>
  <si>
    <t>Money Receipt / bank / payment application extract</t>
  </si>
  <si>
    <t>Finance / Collection</t>
  </si>
  <si>
    <t>Sales Eco MR + Business Central</t>
  </si>
  <si>
    <t>Confirms MR banking synchronization capability is not yet fully accepted.</t>
  </si>
  <si>
    <t>Source Domain / System</t>
  </si>
  <si>
    <t>MR/receipt creation, bank/subbranch, BC posting, customer ledger application, invoice link, unapplied amount and correction/reversal events.</t>
  </si>
  <si>
    <t>Digital receipt/payment application needs production evidence and reconciliation.</t>
  </si>
  <si>
    <t>Source Object / API / Log Candidate</t>
  </si>
  <si>
    <t>https://anwarenterprisesystem.atlassian.net/browse/BSES-1792</t>
  </si>
  <si>
    <t>MR/receipt No.; customer; bank ref; BC entry; invoice/open entry</t>
  </si>
  <si>
    <t>Source / Owner Identified</t>
  </si>
  <si>
    <t>Digital Receipt; Payment Auto-Application; DSO/Overdue support</t>
  </si>
  <si>
    <t>Source Field / Attribute Candidate</t>
  </si>
  <si>
    <t>Expected Access Path</t>
  </si>
  <si>
    <t>Existing Design / Jira Evidence</t>
  </si>
  <si>
    <t>Mapping Status</t>
  </si>
  <si>
    <t>Live Production Extract Found</t>
  </si>
  <si>
    <t>Primary Blocker</t>
  </si>
  <si>
    <t>Reconcile receipt counts/amounts to BC customer ledger and sampled bank references.</t>
  </si>
  <si>
    <t>Derivation / Fallback Rule</t>
  </si>
  <si>
    <t>100% sampled MR amount traceable to authoritative BC posting or explicit pending/error state.</t>
  </si>
  <si>
    <t>Join Key</t>
  </si>
  <si>
    <t>Readiness</t>
  </si>
  <si>
    <t>Data Quality Check</t>
  </si>
  <si>
    <t>COL-O2C-10</t>
  </si>
  <si>
    <t>Process Scope</t>
  </si>
  <si>
    <t>Technical Validation Needed</t>
  </si>
  <si>
    <t>AR aging / collection / NOD baseline</t>
  </si>
  <si>
    <t>Technical Owner</t>
  </si>
  <si>
    <t>Earliest Evidence Level</t>
  </si>
  <si>
    <t>Business Owner</t>
  </si>
  <si>
    <t>Business Central + existing collection sources</t>
  </si>
  <si>
    <t>Dependency / Decision</t>
  </si>
  <si>
    <t>Validation Action</t>
  </si>
  <si>
    <t>Open AR by due date/aging bucket, customer, RC, collection action/NOD if available, payment linkage and status.</t>
  </si>
  <si>
    <t>Current month + prior 3 months</t>
  </si>
  <si>
    <t>Notes</t>
  </si>
  <si>
    <t>Customer; invoice; ledger entry; NOD/commitment ID if available</t>
  </si>
  <si>
    <t>DSO; Overdue Ratio; recovery baseline</t>
  </si>
  <si>
    <t>MAP-O2C-001</t>
  </si>
  <si>
    <t>Reconcile open AR total to authoritative finance ledger and document any timing exclusions.</t>
  </si>
  <si>
    <t>Finance owner signs off AR control total before collection KPIs are published.</t>
  </si>
  <si>
    <t>Yes - Sales Eco / Product-Data</t>
  </si>
  <si>
    <t>Fabric / Cross-system</t>
  </si>
  <si>
    <t>Sales Eco production DB/API/audit export or governed Fabric ingestion</t>
  </si>
  <si>
    <t>Canonical O2C event-log transform</t>
  </si>
  <si>
    <t>Yes - strong product/FRD/Jira evidence</t>
  </si>
  <si>
    <t>No</t>
  </si>
  <si>
    <t>Derived from governed CO/SO chain key; use native shared external/reference ID if one exists</t>
  </si>
  <si>
    <t>No transaction-level production export was found in connected Drive/File Library; application data access is required.</t>
  </si>
  <si>
    <t>Derived - needs technical validation</t>
  </si>
  <si>
    <t>Amber</t>
  </si>
  <si>
    <t>COL-O2C-11</t>
  </si>
  <si>
    <t>Sales Eco docs require external/BC references, correlation and reconciliation; Process Mining requires Case ID.</t>
  </si>
  <si>
    <t>Request 30-60 day CO header/line/status/audit extract with external/BC references and actor timestamps.</t>
  </si>
  <si>
    <t>Sales return chain extract</t>
  </si>
  <si>
    <t>Confirm production table/API names, status-history source and retained resubmission events.</t>
  </si>
  <si>
    <t>Prefer Sales Eco Customer Order/external ID when it survives downstream; otherwise build a cross-reference bridge CO↔SO↔DO↔DN↔Invoice↔Receipt/Return.</t>
  </si>
  <si>
    <t>E3 after extract + source sampling</t>
  </si>
  <si>
    <t>CO external/ref ID + BC SO No./GUID + downstream references</t>
  </si>
  <si>
    <t>Production access and named data owner</t>
  </si>
  <si>
    <t>Return request, source DN/invoice, reason, approval, return receipt/inspection, inventory effect, credit memo and timestamps.</t>
  </si>
  <si>
    <t>100% event rows in pilot must resolve to one case or explicit orphan category; no case key reused across unrelated orders.</t>
  </si>
  <si>
    <t>Last 60-90 days</t>
  </si>
  <si>
    <t>All O2C</t>
  </si>
  <si>
    <t>Return No.; DN/invoice No.; customer; item/qty</t>
  </si>
  <si>
    <t>Data/Fabric + ERP Integration</t>
  </si>
  <si>
    <t>Sales Return Rate; Return-to-Adjustment Cycle</t>
  </si>
  <si>
    <t>Sales Process Owner + Finance</t>
  </si>
  <si>
    <t>Trace every sampled return quantity through inventory and financial adjustment.</t>
  </si>
  <si>
    <t>Yes - ERP Integration / Engineering</t>
  </si>
  <si>
    <t>Trace 30 completed cases manually and prove one-to-one/one-to-many lineage before freezing Case_ID rule.</t>
  </si>
  <si>
    <t>No sampled approved return has unexplained quantity or credit mismatch.</t>
  </si>
  <si>
    <t>Integration service logs + Azure/Application Insights/BC partner telemetry</t>
  </si>
  <si>
    <t>Do not use customer ID alone as case ID.</t>
  </si>
  <si>
    <t>Yes - correlation, retry and idempotency requirements documented</t>
  </si>
  <si>
    <t>MAP-O2C-002</t>
  </si>
  <si>
    <t>Deployed telemetry workspace and header propagation are not accessible/verified.</t>
  </si>
  <si>
    <t>COL-O2C-12</t>
  </si>
  <si>
    <t>All source systems</t>
  </si>
  <si>
    <t>Human-touch observation / classification</t>
  </si>
  <si>
    <t>Export API request/response telemetry for O2C endpoints, including correlation/client-request-id, HTTP result, retry and elapsed time.</t>
  </si>
  <si>
    <t>Native audit/event row or ingestion-generated event key</t>
  </si>
  <si>
    <t>Process Owner / Transformation</t>
  </si>
  <si>
    <t>Confirm client-request-id propagation into BC telemetry and mapping back to business document.</t>
  </si>
  <si>
    <t>Native event/audit ID where available</t>
  </si>
  <si>
    <t>Cross-system + targeted time study</t>
  </si>
  <si>
    <t>E3 after live call evidence</t>
  </si>
  <si>
    <t>BSES-2719</t>
  </si>
  <si>
    <t>Classify each observed/audit event as Human, System Rule, Integration, Device, AI Assist or Agent; record active time for representative human steps.</t>
  </si>
  <si>
    <t>Application Insights/telemetry access</t>
  </si>
  <si>
    <t>Customer Order correction to reverse status to Rejected for AIL</t>
  </si>
  <si>
    <t>2 weeks + sampled O2C cases</t>
  </si>
  <si>
    <t>Candidate</t>
  </si>
  <si>
    <t>Case ID + process step ID + actor/role</t>
  </si>
  <si>
    <t>Order exception / status governance</t>
  </si>
  <si>
    <t>Human Touches; Human Minutes; STP; Human Dependency Index</t>
  </si>
  <si>
    <t>Required by AGI evidence model for deduplication and source trace.</t>
  </si>
  <si>
    <t>BC Sales Order / Shipment / Invoice chain</t>
  </si>
  <si>
    <t>Reconcile observed manual/off-system actions against system audit logs and process-owner interviews.</t>
  </si>
  <si>
    <t>If source has no event ID, hash Source_System + Source_Record_ID + Activity_Name + Event_Timestamp + sequence discriminator.</t>
  </si>
  <si>
    <t>Yes - ERP / Finance</t>
  </si>
  <si>
    <t>Mandatory approvals are distinguished from avoidable re-entry/reconciliation/rework.</t>
  </si>
  <si>
    <t>Source record + event timestamp + action</t>
  </si>
  <si>
    <t>Business Central standard API v2.0 and/or approved custom API/query/export</t>
  </si>
  <si>
    <t>Event_ID unique; zero duplicates after normalized retry handling.</t>
  </si>
  <si>
    <t>Confirms implemented status-correction handling for a production-relevant exception.</t>
  </si>
  <si>
    <t>Yes - BC authority and document-chain requirements confirmed</t>
  </si>
  <si>
    <t>Ready to plan</t>
  </si>
  <si>
    <t>Provides exception-control implementation evidence; live frequency/outcome still unknown.</t>
  </si>
  <si>
    <t>COL-O2C-13</t>
  </si>
  <si>
    <t>No production BC transaction extract or API response set found in project documents.</t>
  </si>
  <si>
    <t>Data/Fabric</t>
  </si>
  <si>
    <t>Canonical O2C event-log build</t>
  </si>
  <si>
    <t>Transformation Office</t>
  </si>
  <si>
    <t>Data / Fabric</t>
  </si>
  <si>
    <t>Export live Sales Orders, Sales Shipments/DN mapping and Sales Invoices with source/external references, quantities and timestamps.</t>
  </si>
  <si>
    <t>Profile duplicate event keys and compare to source counts.</t>
  </si>
  <si>
    <t>Fabric / OneLake / process intelligence</t>
  </si>
  <si>
    <t>https://anwarenterprisesystem.atlassian.net/browse/BSES-2719</t>
  </si>
  <si>
    <t>Retries should remain separate technical events only when analytically required.</t>
  </si>
  <si>
    <t>Build unified event table using O2C Event Schema and normalize document/organization/RC/customer keys.</t>
  </si>
  <si>
    <t>MAP-O2C-003</t>
  </si>
  <si>
    <t>Pilot 30-60 day window then rolling refresh</t>
  </si>
  <si>
    <t>Case_ID; Activity_Name; Event_Timestamp; source/document/correlation keys</t>
  </si>
  <si>
    <t>Sales Eco / BC / Logistics / Finance</t>
  </si>
  <si>
    <t>All 15 pilot KPIs; variants; bottlenecks; exceptions</t>
  </si>
  <si>
    <t>Audit action, workflow status change, posting event, logistics event</t>
  </si>
  <si>
    <t>Action/status/event name</t>
  </si>
  <si>
    <t>Coverage, duplicate, orphan, chronology and quantity/amount conservation tests before metric certification.</t>
  </si>
  <si>
    <t>Candidate - normalization required</t>
  </si>
  <si>
    <t>Sales Eco requires create/update/submit/approve/reject/resubmit audit; Microsoft Process Mining requires Activity Name.</t>
  </si>
  <si>
    <t>Core required fields ≥98% complete for pilot cases; known gaps quantified and not silently imputed.</t>
  </si>
  <si>
    <t>Map source-specific actions to controlled enterprise labels such as CO Submitted, SO Created, Credit Approved, DO Created, Dispatched, POD Captured, Invoice Posted, Payment Applied.</t>
  </si>
  <si>
    <t>Source event/action code</t>
  </si>
  <si>
    <t>Blocked until source extracts obtained</t>
  </si>
  <si>
    <t>No free-text activity names in certified dataset; unmapped actions quarantined.</t>
  </si>
  <si>
    <t>Confirm exact custom fields for CO/DO/RC linkage and whether DN maps to standard salesShipment or a custom object.</t>
  </si>
  <si>
    <t>Data/Fabric + Product</t>
  </si>
  <si>
    <t>E3 after live posted/unposted sample</t>
  </si>
  <si>
    <t>Process Owner</t>
  </si>
  <si>
    <t>BC API/data access; custom-extension schema confirmation</t>
  </si>
  <si>
    <t>Approve activity dictionary with Sales, Logistics and Finance owners.</t>
  </si>
  <si>
    <t>Keep raw source action in a separate lineage field if available.</t>
  </si>
  <si>
    <t>MAP-O2C-004</t>
  </si>
  <si>
    <t>Yes - Finance / ICC / ERP</t>
  </si>
  <si>
    <t>BC/custom credit-control extension + approval workflow/history export</t>
  </si>
  <si>
    <t>Yes - design and business rules documented</t>
  </si>
  <si>
    <t>Exact production credit-control storage, rule execution log and RC-credit extension fields are not verified.</t>
  </si>
  <si>
    <t>Extract credit-check result, exposure inputs, exception/override approval and timestamps for pilot orders.</t>
  </si>
  <si>
    <t>Audit/workflow/posting/gate/POD/integration event</t>
  </si>
  <si>
    <t>Map custom credit/RC fields and approval entries to order IDs.</t>
  </si>
  <si>
    <t>Created/updated/approved/posted/event timestamp</t>
  </si>
  <si>
    <t>E3 after live rule/approval cases</t>
  </si>
  <si>
    <t>ERP extension owner + Finance validation</t>
  </si>
  <si>
    <t>Sales Eco audit requires timestamp; Process Mining requires timestamp.</t>
  </si>
  <si>
    <t>Use business-event timestamp, not ingestion timestamp. Store ingestion time separately if needed.</t>
  </si>
  <si>
    <t>Source_Record_ID / Event_ID</t>
  </si>
  <si>
    <t>Yes - Inventory / ERP</t>
  </si>
  <si>
    <t>Timestamp non-null for core milestones; chronology anomalies flagged, not silently corrected.</t>
  </si>
  <si>
    <t>BC inventory/reservation entries or custom API/query</t>
  </si>
  <si>
    <t>Yes - target rules/process documented</t>
  </si>
  <si>
    <t>Source system owners + Data</t>
  </si>
  <si>
    <t>No live reservation/availability event dataset available; availability-at-check-time may require custom event capture.</t>
  </si>
  <si>
    <t>Compare source UI/audit timestamps against extract for sampled cases and confirm timezone.</t>
  </si>
  <si>
    <t>Amber-Red</t>
  </si>
  <si>
    <t>Normalize to UTC plus retain local offset or Dhaka-local business date.</t>
  </si>
  <si>
    <t>Confirm which availability/reservation events are persisted; export reservation create/release and inventory snapshots or build event capture.</t>
  </si>
  <si>
    <t>Determine whether historical availability checks can be reconstructed or only future-instrumented.</t>
  </si>
  <si>
    <t>E3 for reservations; E4 availability pass metric may require instrumentation</t>
  </si>
  <si>
    <t>Inventory data model / event retention decision</t>
  </si>
  <si>
    <t>Yes - Logistics Product / Operations</t>
  </si>
  <si>
    <t>Logistics App production DB/API/event export + BC document references</t>
  </si>
  <si>
    <t>Yes - detailed PRD/SDD exists</t>
  </si>
  <si>
    <t>MAP-O2C-005</t>
  </si>
  <si>
    <t>No live logistics production export found; DO mapping to BC remains partly custom/organization-specific.</t>
  </si>
  <si>
    <t>Workflow-capable systems</t>
  </si>
  <si>
    <t>Red-Amber</t>
  </si>
  <si>
    <t>Approval/task/work item history</t>
  </si>
  <si>
    <t>Export DO creation/status, source selection, trip grouping, assignment and loading-advice events for pilot scope.</t>
  </si>
  <si>
    <t>Task/workflow start or assignment timestamp</t>
  </si>
  <si>
    <t>Confirm DO identifier, parent SO reference, outstanding-balance fields and BC mapping.</t>
  </si>
  <si>
    <t>Candidate / may be unavailable</t>
  </si>
  <si>
    <t>E3 after live DO records</t>
  </si>
  <si>
    <t>Microsoft Process Mining supports start/end timestamps for activity duration.</t>
  </si>
  <si>
    <t>Logistics application data access + DO/BC mapping decision</t>
  </si>
  <si>
    <t>Where only point events exist, leave null; do not infer active work duration from prior event.</t>
  </si>
  <si>
    <t>Workflow/task ID</t>
  </si>
  <si>
    <t>Start &lt;= End; coverage reported by activity.</t>
  </si>
  <si>
    <t>Approvals / human tasks</t>
  </si>
  <si>
    <t>BSES-2761</t>
  </si>
  <si>
    <t>Product/ERP/Logistics owners</t>
  </si>
  <si>
    <t>Partly - Logistics/Warehouse; source systems need confirmation</t>
  </si>
  <si>
    <t>Sales Return details API UOM fields</t>
  </si>
  <si>
    <t>Identify which workflows expose assignment/start events.</t>
  </si>
  <si>
    <t>Logistics App plus gate/weighbridge/device system or controlled register</t>
  </si>
  <si>
    <t>Sales return</t>
  </si>
  <si>
    <t>Optional for point events.</t>
  </si>
  <si>
    <t>Yes - future-state process design; current actual capture less certain</t>
  </si>
  <si>
    <t>MAP-O2C-006</t>
  </si>
  <si>
    <t>Authoritative gate/weighbridge/loading source and timestamp coverage are not established.</t>
  </si>
  <si>
    <t>Confirms delivered sales-return API enhancement including UOM details.</t>
  </si>
  <si>
    <t>Red</t>
  </si>
  <si>
    <t>Decision/completion timestamp</t>
  </si>
  <si>
    <t>Inventory current capture sources at pilot plant and export one week of load/gate/dispatch records before designing KPI baseline.</t>
  </si>
  <si>
    <t>Return chain requires live return, inventory and credit memo evidence for E3/E4.</t>
  </si>
  <si>
    <t>Microsoft Process Mining supports start/end timestamps.</t>
  </si>
  <si>
    <t>Identify system of record for gate-in/out, weighment and actual loading; quantify paper/manual fallback.</t>
  </si>
  <si>
    <t>Use actual completion/decision time. Leave null if event is instantaneous.</t>
  </si>
  <si>
    <t>https://anwarenterprisesystem.atlassian.net/browse/BSES-2761</t>
  </si>
  <si>
    <t>E2 until live execution records confirmed</t>
  </si>
  <si>
    <t>End &gt;= Start; completion coverage reported.</t>
  </si>
  <si>
    <t>Plant/logistics source-of-truth decision</t>
  </si>
  <si>
    <t>Validate against workflow history for sample tasks.</t>
  </si>
  <si>
    <t>Needed for active-time measurement, not basic event sequencing.</t>
  </si>
  <si>
    <t>MAP-O2C-007</t>
  </si>
  <si>
    <t>Yes target owner - Logistics; live implementation to verify</t>
  </si>
  <si>
    <t>Ingestion layer</t>
  </si>
  <si>
    <t>Source connection metadata</t>
  </si>
  <si>
    <t>Logistics App/mobile POD records and attachments</t>
  </si>
  <si>
    <t>SalesEco / BusinessCentral / Logistics / Bank / FabricDerived</t>
  </si>
  <si>
    <t>Yes - PRD/SDD target behavior documented</t>
  </si>
  <si>
    <t>Confirmed-derived</t>
  </si>
  <si>
    <t>Source provenance is required by the enterprise evidence model.</t>
  </si>
  <si>
    <t>No live POD dataset/attachment metadata found and actual digital-POD coverage is unknown.</t>
  </si>
  <si>
    <t>Stamp at ingestion; do not accept user-entered source labels.</t>
  </si>
  <si>
    <t>Pipeline/source connection</t>
  </si>
  <si>
    <t>Export completed delivery/POD records plus exception/rejection/shortage data; compare against completed DO/DN population.</t>
  </si>
  <si>
    <t>Value restricted to governed source-system dimension.</t>
  </si>
  <si>
    <t>Define POD completeness by SBU/channel and confirm attachment/e-signature retention.</t>
  </si>
  <si>
    <t>E3 after live POD cases</t>
  </si>
  <si>
    <t>POD deployment/adoption confirmation</t>
  </si>
  <si>
    <t>Freeze source-system code list before pilot load.</t>
  </si>
  <si>
    <t>Separate source from business function.</t>
  </si>
  <si>
    <t>MAP-O2C-008</t>
  </si>
  <si>
    <t>Yes - Finance / Collection</t>
  </si>
  <si>
    <t>Sales Eco MR production data + BC customer ledger/payment application export</t>
  </si>
  <si>
    <t>Sales Eco / BC / Logistics</t>
  </si>
  <si>
    <t>Yes - MR/ledger process documented; relevant Jira still in QA</t>
  </si>
  <si>
    <t>Native entity or ledger/API record</t>
  </si>
  <si>
    <t>Native GUID/ID/entry number</t>
  </si>
  <si>
    <t>No live MR-to-BC application dataset found; bank/subbranch sync is still QA evidence.</t>
  </si>
  <si>
    <t>Sales Eco documentation requires record ID in audit/support context; BC APIs expose GUID IDs.</t>
  </si>
  <si>
    <t>Export MR, BC receipt/ledger/application and bank reference data for 30-60 days; reconcile amount and status.</t>
  </si>
  <si>
    <t>Use immutable native key, not display name.</t>
  </si>
  <si>
    <t>Native ID</t>
  </si>
  <si>
    <t>Confirm MR→BC document/reference and payment-application object/entry mapping.</t>
  </si>
  <si>
    <t>Non-null for extracted source records; uniqueness checked within source object.</t>
  </si>
  <si>
    <t>E3 after reconciled live receipts</t>
  </si>
  <si>
    <t>Finance data access + MR integration mapping</t>
  </si>
  <si>
    <t>Application/ERP owners</t>
  </si>
  <si>
    <t>Confirm stable primary key per source object/API.</t>
  </si>
  <si>
    <t>Display document number remains separate.</t>
  </si>
  <si>
    <t>MAP-O2C-009</t>
  </si>
  <si>
    <t>BC customer ledger/aging export plus existing NOD source</t>
  </si>
  <si>
    <t>Yes - finance design; E19 management stories are To Do</t>
  </si>
  <si>
    <t>Entity/document metadata</t>
  </si>
  <si>
    <t>CO / Sales Order / DO / Shipment-DN / Invoice / MR-Receipt / Return / Credit Memo</t>
  </si>
  <si>
    <t>Confirmed concept; normalization required</t>
  </si>
  <si>
    <t>No authoritative live AR/NOD reconciliation extract found; new collection data-service/reconciliation work is pending.</t>
  </si>
  <si>
    <t>Sales Eco baseline explicitly defines the O2C document chain.</t>
  </si>
  <si>
    <t>Map source entity/object to governed document-type dimension.</t>
  </si>
  <si>
    <t>BSES-2923</t>
  </si>
  <si>
    <t>Start with BC open customer ledger as financial baseline; separately inventory current NOD source and key linkage.</t>
  </si>
  <si>
    <t>Source object/entity type</t>
  </si>
  <si>
    <t>Production DO/DN load time optimization</t>
  </si>
  <si>
    <t>Confirm authoritative NOD object/source and reconcile collection amounts to BC before dashboard use.</t>
  </si>
  <si>
    <t>All events with document context have a valid controlled type.</t>
  </si>
  <si>
    <t>Fulfilment performance</t>
  </si>
  <si>
    <t>E3 for AR; E1-E2 for new NOD management layer</t>
  </si>
  <si>
    <t>Transactional O2C</t>
  </si>
  <si>
    <t>O2C-011:020</t>
  </si>
  <si>
    <t>NOD source-of-truth + collection reconciliation decisions</t>
  </si>
  <si>
    <t>Sales + Finance</t>
  </si>
  <si>
    <t>Approve canonical type list and synonyms.</t>
  </si>
  <si>
    <t>Shows delivery-document performance optimization was completed.</t>
  </si>
  <si>
    <t>Do not conflate DN with DO; BC mapping for DN may use posted sales shipment.</t>
  </si>
  <si>
    <t>MAP-O2C-010</t>
  </si>
  <si>
    <t>Yes - Sales / Logistics / Finance</t>
  </si>
  <si>
    <t>Need runtime response metrics and actual process cycle metrics; application speed is not process maturity.</t>
  </si>
  <si>
    <t>Sales Eco return records + BC return receipt/credit memo/inventory entries</t>
  </si>
  <si>
    <t>Sales Eco / Business Central / Logistics</t>
  </si>
  <si>
    <t>https://anwarenterprisesystem.atlassian.net/browse/BSES-2923</t>
  </si>
  <si>
    <t>Yes - process and API enhancement evidence</t>
  </si>
  <si>
    <t>CO/DO/MR entity; BC salesOrder, salesShipment, salesInvoice or custom APIs</t>
  </si>
  <si>
    <t>Sales Eco number/reference; BC number; Logistics DO/DN/trip reference</t>
  </si>
  <si>
    <t>No live end-to-end return sample linking request→warehouse→inventory→credit was found.</t>
  </si>
  <si>
    <t>BC API v2.0 exposes number on sales orders/shipments/invoices; Sales Eco requires record/document references.</t>
  </si>
  <si>
    <t>Export 60-90 days of returns and trace to DN/invoice, receipt/inspection, inventory and credit memo.</t>
  </si>
  <si>
    <t>Use authoritative displayed document number for business reconciliation; retain Source_Record_ID for technical joins.</t>
  </si>
  <si>
    <t>Confirm production BC return document mapping and line-level source references.</t>
  </si>
  <si>
    <t>Native source record ID</t>
  </si>
  <si>
    <t>E3 after complete live return chains</t>
  </si>
  <si>
    <t>Uniqueness by Document_Type + Organization; duplicates investigated.</t>
  </si>
  <si>
    <t>Return integration/data access</t>
  </si>
  <si>
    <t>Application/ERP/Logistics</t>
  </si>
  <si>
    <t>Confirm document-number fields in production APIs/extensions.</t>
  </si>
  <si>
    <t>BC standard resources verified for Sales Order, Sales Shipment and Sales Invoice.</t>
  </si>
  <si>
    <t>Yes - Process Owners / Transformation</t>
  </si>
  <si>
    <t>MAP-O2C-011</t>
  </si>
  <si>
    <t>Workflow/audit exports plus targeted user observation/time study</t>
  </si>
  <si>
    <t>Design evidence identifies actors/approvals but not actual human effort</t>
  </si>
  <si>
    <t>Cross-reference/source document fields</t>
  </si>
  <si>
    <t>Human effort and off-system work cannot be reconstructed reliably from documents alone.</t>
  </si>
  <si>
    <t>Source CO/SO/DO/DN/Invoice reference; BC orderNumber/externalDocumentNumber where applicable</t>
  </si>
  <si>
    <t>Candidate - technical validation required</t>
  </si>
  <si>
    <t>Observe representative Sales, ICC/Finance, Logistics/Warehouse and Collection cases and classify actions against Event Schema.</t>
  </si>
  <si>
    <t>Sales Eco requires line-by-line reconciliation and BC document references; BC salesShipment exposes orderNumber.</t>
  </si>
  <si>
    <t>Separate mandatory control approvals from avoidable data entry, coordination, rework and reconciliation.</t>
  </si>
  <si>
    <t>Use immediate authoritative parent reference; build a bridge table when no single parent field exists.</t>
  </si>
  <si>
    <t>E4 after measured observation + logs</t>
  </si>
  <si>
    <t>Document_No + source reference</t>
  </si>
  <si>
    <t>Pilot SBU and user cohort selection</t>
  </si>
  <si>
    <t>Runbook ID</t>
  </si>
  <si>
    <t>Orphan child documents explicitly flagged; no fuzzy matching for certified lineage.</t>
  </si>
  <si>
    <t>SO→DO→DN→Invoice→Receipt/Return</t>
  </si>
  <si>
    <t>ERP Integration + Data</t>
  </si>
  <si>
    <t>Yes - Data/Fabric / Transformation</t>
  </si>
  <si>
    <t>Sequence / Gate</t>
  </si>
  <si>
    <t>Finance + Sales</t>
  </si>
  <si>
    <t>Fabric/OneLake pipeline combining validated source extracts</t>
  </si>
  <si>
    <t>Workstream</t>
  </si>
  <si>
    <t>Yes - event schema and KPI model now defined in registry</t>
  </si>
  <si>
    <t>Validate 30 chains and document which parent fields survive each transition.</t>
  </si>
  <si>
    <t>Source / Area</t>
  </si>
  <si>
    <t>One SO can legitimately have multiple downstream delivery documents.</t>
  </si>
  <si>
    <t>Blocked by missing live source extracts and unresolved key mappings for CO↔SO, DO/DN and RC/location.</t>
  </si>
  <si>
    <t>Required Action / Dataset</t>
  </si>
  <si>
    <t>MAP-O2C-012</t>
  </si>
  <si>
    <t>Do not build the management baseline until P0 extracts are obtained; first build bridge tables and run coverage/orphan/chronology/quantity tests.</t>
  </si>
  <si>
    <t>Pilot Scope</t>
  </si>
  <si>
    <t>Freeze Case_ID and Activity dictionary only after 30-case manual trace validates lineage.</t>
  </si>
  <si>
    <t>Sales Eco integration / Business Central telemetry</t>
  </si>
  <si>
    <t>E4 once refreshed event log passes data-quality gates</t>
  </si>
  <si>
    <t>Window / Frequency</t>
  </si>
  <si>
    <t>Integration log + BC web-service telemetry</t>
  </si>
  <si>
    <t>COL-O2C-01/02/03/04/06/07/08/09/10/12</t>
  </si>
  <si>
    <t>Primary Join Key</t>
  </si>
  <si>
    <t>Sales Eco correlation/reference ID; client-request-id / OperationId where configured</t>
  </si>
  <si>
    <t>Validation / Control Test</t>
  </si>
  <si>
    <t>Confirmed requirement; deployment mapping to validate</t>
  </si>
  <si>
    <t>Sales Eco baseline explicitly requires correlation ID/retry count; BC telemetry supports client-request-id correlation.</t>
  </si>
  <si>
    <t>Propagate the same request correlation identifier across caller and BC where technically possible.</t>
  </si>
  <si>
    <t>Integration request ID</t>
  </si>
  <si>
    <t>Dependency</t>
  </si>
  <si>
    <t>Coverage of correlation ID reported for all integration-driven events; duplicate IDs across unrelated requests prohibited.</t>
  </si>
  <si>
    <t>Evidence Output</t>
  </si>
  <si>
    <t>Integration-driven O2C</t>
  </si>
  <si>
    <t>Product + Support</t>
  </si>
  <si>
    <t>Notes / Reference</t>
  </si>
  <si>
    <t>Inspect deployed integration headers/log schema and confirm correlation propagation.</t>
  </si>
  <si>
    <t>Critical for safe retry and root-cause analysis.</t>
  </si>
  <si>
    <t>RUN-O2C-01</t>
  </si>
  <si>
    <t>MAP-O2C-013</t>
  </si>
  <si>
    <t>Gate 0</t>
  </si>
  <si>
    <t>Pilot governance</t>
  </si>
  <si>
    <t>BSES-2928</t>
  </si>
  <si>
    <t>Display item name and backlog quantity during DO creation</t>
  </si>
  <si>
    <t>Sales Eco organization + BC company context</t>
  </si>
  <si>
    <t>Select the pilot SBU using live O2C transaction volume, source-system coverage and cross-document lineage quality; do not use project-plan % as the selection criterion.</t>
  </si>
  <si>
    <t>SO→DO / partial fulfilment</t>
  </si>
  <si>
    <t>Organization ID/code; BC company ID/name</t>
  </si>
  <si>
    <t>Pilot SBU: TBD</t>
  </si>
  <si>
    <t>Confirmed concept; mapping table required</t>
  </si>
  <si>
    <t>One-time before extraction</t>
  </si>
  <si>
    <t>To Do</t>
  </si>
  <si>
    <t>Sales Eco states organization is primary isolation boundary; BC API calls are company-scoped.</t>
  </si>
  <si>
    <t>Organization / BC company bridge</t>
  </si>
  <si>
    <t>Maintain governed Organization↔BC Company bridge.</t>
  </si>
  <si>
    <t>Confirm Sales Eco, Business Central and logistics/fulfilment sources are live for the chosen scope and have named owners.</t>
  </si>
  <si>
    <t>Confirms a remaining visibility gap around backlog/outstanding quantity during DO creation.</t>
  </si>
  <si>
    <t>Organization ID / company GUID</t>
  </si>
  <si>
    <t>One SBU selected with named business/process/data owners and an approved in-scope O2C definition.</t>
  </si>
  <si>
    <t>E1 requirement</t>
  </si>
  <si>
    <t>Every case maps to exactly one organization; cross-org references are errors unless explicitly approved.</t>
  </si>
  <si>
    <t>Transformation Owner + Sales + Finance + Logistics</t>
  </si>
  <si>
    <t>Important blocker for transparent partial-fulfilment and outstanding-balance management.</t>
  </si>
  <si>
    <t>None</t>
  </si>
  <si>
    <t>Product Master Data + ERP</t>
  </si>
  <si>
    <t>Pilot charter / scope decision</t>
  </si>
  <si>
    <t>Org Admin / Finance</t>
  </si>
  <si>
    <t>https://anwarenterprisesystem.atlassian.net/browse/BSES-2928</t>
  </si>
  <si>
    <t>Not started</t>
  </si>
  <si>
    <t>Validate organization-company mapping against production configuration.</t>
  </si>
  <si>
    <t>Use the latest complete operating period; avoid choosing a pilot solely because its ERP timeline looks more advanced.</t>
  </si>
  <si>
    <t>Use IDs/codes, not display names, as keys.</t>
  </si>
  <si>
    <t>RUN-O2C-02</t>
  </si>
  <si>
    <t>MAP-O2C-014</t>
  </si>
  <si>
    <t>Access &amp; privacy</t>
  </si>
  <si>
    <t>Sales Eco / BC / Logistics / Fabric</t>
  </si>
  <si>
    <t>Order/integration payload + BC custom field/dimension/extension candidate</t>
  </si>
  <si>
    <t>Obtain read-only extraction access and data-owner approvals; minimize unnecessary personal/bank/customer attributes.</t>
  </si>
  <si>
    <t>RC code / Responsibility Center value</t>
  </si>
  <si>
    <t>Selected SBU</t>
  </si>
  <si>
    <t>Needs technical validation</t>
  </si>
  <si>
    <t>Before source extraction</t>
  </si>
  <si>
    <t>Project decisions require CO/DO submission context and RC-based credit/inventory; exact production storage may be custom.</t>
  </si>
  <si>
    <t>Named source connection</t>
  </si>
  <si>
    <t>Prefer actual persisted BC transaction field or governed dimension; do not infer from user when transaction carries explicit RC.</t>
  </si>
  <si>
    <t>Verify least privilege, source ownership, auditability and secure handling of identifiers.</t>
  </si>
  <si>
    <t>CO/SO/DO reference + RC code</t>
  </si>
  <si>
    <t>Approved read access for all P0 source packs or explicit blocker recorded.</t>
  </si>
  <si>
    <t>RC must belong to same organization; missing RC separated from intentionally optional RC.</t>
  </si>
  <si>
    <t>System Owners + Security + Data Owners</t>
  </si>
  <si>
    <t>Order / credit / inventory / finance</t>
  </si>
  <si>
    <t>Access matrix / approval record</t>
  </si>
  <si>
    <t>ERP Extension + Product</t>
  </si>
  <si>
    <t>Extraction needs business identifiers and event facts, not unnecessary sensitive details.</t>
  </si>
  <si>
    <t>Inspect BC extension/API payload and production storage; freeze mapping only after field confirmation.</t>
  </si>
  <si>
    <t>RUN-O2C-03</t>
  </si>
  <si>
    <t>Do not assume standard API v2.0 exposes custom RC directly.</t>
  </si>
  <si>
    <t>Gate 1</t>
  </si>
  <si>
    <t>MAP-O2C-015</t>
  </si>
  <si>
    <t>Source mapping validation</t>
  </si>
  <si>
    <t>Validate the O2C Source-to-Field Mapping against the actual production DB/API/custom extension/event schemas.</t>
  </si>
  <si>
    <t>Customer/order/user geography relationship</t>
  </si>
  <si>
    <t>33 event-schema fields</t>
  </si>
  <si>
    <t>Territory ID/code</t>
  </si>
  <si>
    <t>Before ETL build</t>
  </si>
  <si>
    <t>Source object + native field/event</t>
  </si>
  <si>
    <t>Sales Eco owns territory hierarchy and uses it for scope/reporting.</t>
  </si>
  <si>
    <t>Confirm actual implemented field, source owner, history retention and join key; candidate mappings must not be treated as confirmed.</t>
  </si>
  <si>
    <t>Snapshot transaction-time territory if assignments can later change; otherwise join effective-dated assignment.</t>
  </si>
  <si>
    <t>All Core required / AGI required fields mapped; recommended fields either mapped or explicitly deferred with documented KPI impact.</t>
  </si>
  <si>
    <t>Customer/order/user assignment ID</t>
  </si>
  <si>
    <t>Product/Data + ERP Integration + Logistics Tech</t>
  </si>
  <si>
    <t>No future/current territory overwrite of historical case context.</t>
  </si>
  <si>
    <t>Sales segmentation</t>
  </si>
  <si>
    <t>Validated source-to-field mapping v1</t>
  </si>
  <si>
    <t>Sales Eco Product/Data</t>
  </si>
  <si>
    <t>Sales Operations</t>
  </si>
  <si>
    <t>Validate whether transactions persist territory or require effective-dated reconstruction.</t>
  </si>
  <si>
    <t>BC standard APIs expose common resources, but AGI-specific RC/DO/custom fields must be confirmed from deployed extensions. Reference: https://learn.microsoft.com/en-us/dynamics365/business-central/dev-itpro/api-reference/v2.0/</t>
  </si>
  <si>
    <t>Use stable territory ID; names can change.</t>
  </si>
  <si>
    <t>RUN-O2C-04</t>
  </si>
  <si>
    <t>MAP-O2C-016</t>
  </si>
  <si>
    <t>Baseline-window freeze</t>
  </si>
  <si>
    <t>Cross-system</t>
  </si>
  <si>
    <t>Dealer/customer master mapping; BC customer resource</t>
  </si>
  <si>
    <t>Define the first measurement window and timezone policy.</t>
  </si>
  <si>
    <t>Sales Eco customer/dealer ID + BC customer id/number</t>
  </si>
  <si>
    <t>Confirmed concept; bridge validation required</t>
  </si>
  <si>
    <t>Recommended: latest complete 30 days; extend to 60 days if case volume/variants are insufficient</t>
  </si>
  <si>
    <t>Sales Eco customer/dealer maps to BC-approved customer; BC API exposes customer id/number.</t>
  </si>
  <si>
    <t>Use BC Customer No. as financial identifier and retain Sales Eco entity ID for operational lineage.</t>
  </si>
  <si>
    <t>Use one governed business timezone; preserve source offset/UTC where available; exclude incomplete future/open-period distortion from closed-case KPIs.</t>
  </si>
  <si>
    <t>Customer bridge table</t>
  </si>
  <si>
    <t>Window contains sufficient happy-path and exception cases and is signed off before KPI calculation.</t>
  </si>
  <si>
    <t>No duplicate active mapping unless approved multi-org design; unmapped customers quarantined.</t>
  </si>
  <si>
    <t>Product/Data + Process Owner</t>
  </si>
  <si>
    <t>All customer-linked O2C</t>
  </si>
  <si>
    <t>Master Data / ERP Integration</t>
  </si>
  <si>
    <t>Baseline window definition</t>
  </si>
  <si>
    <t>Reconcile active Sales Eco customers to BC customer records by organization.</t>
  </si>
  <si>
    <t>Process Mining requires reliable Case ID, Activity Name and timestamps; start/end timestamps support activity-duration analysis. Reference: https://learn.microsoft.com/en-us/power-automate/process-mining-processes-and-data</t>
  </si>
  <si>
    <t>Keep operational and financial IDs separately.</t>
  </si>
  <si>
    <t>RUN-O2C-05</t>
  </si>
  <si>
    <t>MAP-O2C-017</t>
  </si>
  <si>
    <t>Source extract</t>
  </si>
  <si>
    <t>Customer Order events</t>
  </si>
  <si>
    <t>Application audit log / workflow history / BC Change Log where applicable</t>
  </si>
  <si>
    <t>Extract CO header/lines plus create, submit, approve/reject/correct/cancel status history, actor, timestamps, organization, customer, RC and downstream/external references.</t>
  </si>
  <si>
    <t>User/actor ID; integration/service identity for nonhuman actions</t>
  </si>
  <si>
    <t>RUN-O2C-04 window</t>
  </si>
  <si>
    <t>BSES-2941</t>
  </si>
  <si>
    <t>Sales Eco audit requires actor; BC Change Log can show who changed what and when.</t>
  </si>
  <si>
    <t>CO ID + external/BC reference</t>
  </si>
  <si>
    <t>Optimize DO, DN, MR paginated lists</t>
  </si>
  <si>
    <t>Resolve source user to canonical employee/user dimension; preserve service identities separately.</t>
  </si>
  <si>
    <t>Reconcile daily/status counts to source totals; sample source records and confirm resubmission/rejection history is retained.</t>
  </si>
  <si>
    <t>Fulfilment / collection usability</t>
  </si>
  <si>
    <t>Source user/account ID</t>
  </si>
  <si>
    <t>O2C-011:024</t>
  </si>
  <si>
    <t>No shared generic identity classified as an individual user; unknown actors flagged.</t>
  </si>
  <si>
    <t>In Review</t>
  </si>
  <si>
    <t>≥98% event rows have CO ID/timestamp and ≥95% eligible digital COs have usable downstream link or documented exclusion.</t>
  </si>
  <si>
    <t>Human dependency / audit</t>
  </si>
  <si>
    <t>Identity + Application/ERP Admin</t>
  </si>
  <si>
    <t>Shows performance enhancement is still under review.</t>
  </si>
  <si>
    <t>RUN-O2C-03, RUN-O2C-04</t>
  </si>
  <si>
    <t>Process / Control Owner</t>
  </si>
  <si>
    <t>COL-O2C-01 extract + control totals</t>
  </si>
  <si>
    <t>Export live user/role mappings and sample audit events.</t>
  </si>
  <si>
    <t>Not process execution proof; may affect adoption if latency remains material.</t>
  </si>
  <si>
    <t>Shared accounts materially weaken human-touch and SoD evidence.</t>
  </si>
  <si>
    <t>Include failed/rejected/cancelled/reworked cases, not only successful orders.</t>
  </si>
  <si>
    <t>https://anwarenterprisesystem.atlassian.net/browse/BSES-2941</t>
  </si>
  <si>
    <t>MAP-O2C-018</t>
  </si>
  <si>
    <t>RUN-O2C-06</t>
  </si>
  <si>
    <t>Integration telemetry</t>
  </si>
  <si>
    <t>RBAC/role assignment + workflow approver context</t>
  </si>
  <si>
    <t>Sales Eco ↔ Business Central</t>
  </si>
  <si>
    <t>Role at event time</t>
  </si>
  <si>
    <t>Extract API request/response/retry/error telemetry for in-scope O2C integrations: endpoint, correlation/client-request-id, HTTP result, elapsed time and business-reference linkage.</t>
  </si>
  <si>
    <t>Needs effective-dated validation</t>
  </si>
  <si>
    <t>Sales Eco is role/hierarchy scoped; role determines approval/access.</t>
  </si>
  <si>
    <t>Use role captured on event if available; otherwise effective-dated role assignment as of Event_Timestamp.</t>
  </si>
  <si>
    <t>Correlation_ID / client-request-id + business record</t>
  </si>
  <si>
    <t>Actor_User_ID + effective date</t>
  </si>
  <si>
    <t>Group technical retries under one logical request; compare source requests, BC calls and resulting business records.</t>
  </si>
  <si>
    <t>Historical role must not be overwritten by current role.</t>
  </si>
  <si>
    <t>No unexplained request/result gap above 2% for the pilot; failures/retries traceable to the source case.</t>
  </si>
  <si>
    <t>Human dependency / SoD</t>
  </si>
  <si>
    <t>Identity/Product</t>
  </si>
  <si>
    <t>COL-O2C-02 telemetry extract</t>
  </si>
  <si>
    <t>Confirm whether each source logs effective role/work area on action.</t>
  </si>
  <si>
    <t>Current role alone is insufficient for historical approvals.</t>
  </si>
  <si>
    <t>Business Central web-service telemetry logs endpoint/result and can correlate caller-supplied client-request-id in Application Insights. Reference: https://learn.microsoft.com/en-us/dynamics365/business-central/dev-itpro/webservices/web-service-telemetry</t>
  </si>
  <si>
    <t>MAP-O2C-019</t>
  </si>
  <si>
    <t>RUN-O2C-07</t>
  </si>
  <si>
    <t>Fabric derived from all systems</t>
  </si>
  <si>
    <t>ERP Sales Order</t>
  </si>
  <si>
    <t>Event classification rule</t>
  </si>
  <si>
    <t>Human / System Rule / Integration / Device / AI Assist / Agent</t>
  </si>
  <si>
    <t>Extract in-scope Sales Orders with GUID/number, customer, external/source reference, dates/status, line quantities and AGI custom RC/source fields where implemented.</t>
  </si>
  <si>
    <t>Derived</t>
  </si>
  <si>
    <t>Selected BC company/SBU</t>
  </si>
  <si>
    <t>Required for AGI STP and Human Dependency metrics.</t>
  </si>
  <si>
    <t>RUN-O2C-04 window + linked active cases</t>
  </si>
  <si>
    <t>Classify using actor type, source event, endpoint and workflow semantics; do not classify all digital events as automated.</t>
  </si>
  <si>
    <t>SO GUID/number + external source reference</t>
  </si>
  <si>
    <t>Actor + Activity + Source_System</t>
  </si>
  <si>
    <t>Compare extract counts to BC control totals and sample records back to BC UI/authoritative source.</t>
  </si>
  <si>
    <t>Classification rules approved and test cases sampled; unknown class remains visible.</t>
  </si>
  <si>
    <t>All eligible in-scope SOs extracted; CO/external linkage coverage quantified; no assumed custom field names.</t>
  </si>
  <si>
    <t>ERP/BC Team + Sales/Finance</t>
  </si>
  <si>
    <t>BC SO extract + mapping</t>
  </si>
  <si>
    <t>Create and approve a classification matrix for every pilot Activity_Name.</t>
  </si>
  <si>
    <t>Human approval remains human even when executed in a workflow screen.</t>
  </si>
  <si>
    <t>Business Central API v2.0 salesOrder exposes id, number, externalDocumentNumber and customer identifiers. Reference: https://learn.microsoft.com/en-us/dynamics365/business-central/dev-itpro/api-reference/v2.0/resources/dynamics_salesorder</t>
  </si>
  <si>
    <t>MAP-O2C-020</t>
  </si>
  <si>
    <t>RUN-O2C-08</t>
  </si>
  <si>
    <t>Shipment / Invoice</t>
  </si>
  <si>
    <t>Audit/status history; BC Change Log for configured tracked fields</t>
  </si>
  <si>
    <t>Previous lifecycle/status value</t>
  </si>
  <si>
    <t>Extract posted Sales Shipments/DN mapping and Sales Invoices with order/customer references, posting dates, lines/quantities and amounts.</t>
  </si>
  <si>
    <t>Sales Eco requires before/after values for governed changes; BC auditing supports changes to selected data.</t>
  </si>
  <si>
    <t>RUN-O2C-04 window + linked cases</t>
  </si>
  <si>
    <t>Use explicit before value where logged; do not infer if intermediate state changes may be missing.</t>
  </si>
  <si>
    <t>SO number ↔ salesShipment orderNumber ↔ invoice references</t>
  </si>
  <si>
    <t>Source record + event ID</t>
  </si>
  <si>
    <t>Reconcile shipment/invoice counts/totals to BC; detect broken upstream reference and unexplained quantity/amount variance.</t>
  </si>
  <si>
    <t>Status transition conforms to allowed lifecycle or is flagged.</t>
  </si>
  <si>
    <t>≥95% of sampled completed cases reconstructable without manual guesswork; all exceptions retained and classified.</t>
  </si>
  <si>
    <t>Approval / status lifecycle</t>
  </si>
  <si>
    <t>ERP/BC Team + Finance</t>
  </si>
  <si>
    <t>Product/ERP/Logistics</t>
  </si>
  <si>
    <t>COL-O2C-03 shipment/invoice extract</t>
  </si>
  <si>
    <t>Inspect status-history coverage for sampled CO/SO/DO/MR/return records.</t>
  </si>
  <si>
    <t>Can remain null for non-status events.</t>
  </si>
  <si>
    <t>BSES-3057</t>
  </si>
  <si>
    <t>Business Central provides standard salesShipment and salesInvoice API resources. References: https://learn.microsoft.com/en-us/dynamics365/business-central/dev-itpro/api-reference/v2.0/resources/dynamics_salesshipment ; https://learn.microsoft.com/en-us/dynamics365/business-central/dev-itpro/api-reference/v2.0/resources/dynamics_salesinvoice</t>
  </si>
  <si>
    <t>MAP-O2C-021</t>
  </si>
  <si>
    <t>SO &amp; DO optimization, sync fixes and filter fixes</t>
  </si>
  <si>
    <t>RUN-O2C-09</t>
  </si>
  <si>
    <t>SO→DO / integration reliability</t>
  </si>
  <si>
    <t>O2C-005,O2C-011</t>
  </si>
  <si>
    <t>Audit/status history; workflow result</t>
  </si>
  <si>
    <t>Business Central / approval extension</t>
  </si>
  <si>
    <t>New lifecycle/status value</t>
  </si>
  <si>
    <t>Extract credit limit/exposure inputs, check result, exception/override flag, approval request/decision, approver and timestamps per order.</t>
  </si>
  <si>
    <t>Strong current evidence that SO/DO optimization and sync fixes have been delivered.</t>
  </si>
  <si>
    <t>Sales Eco audit/status model requires lifecycle events.</t>
  </si>
  <si>
    <t>Promotion to E3 requires production transaction and sync logs after deployment.</t>
  </si>
  <si>
    <t>CO/SO + customer + RC + approval entry</t>
  </si>
  <si>
    <t>Use explicit post-transition value.</t>
  </si>
  <si>
    <t>https://anwarenterprisesystem.atlassian.net/browse/BSES-3057</t>
  </si>
  <si>
    <t>Sample passed, failed, rejected and overridden cases against approved credit policy/authority.</t>
  </si>
  <si>
    <t>Every sampled order has explicit check outcome or documented policy exclusion; overrides attributable to an authorized actor.</t>
  </si>
  <si>
    <t>No terminal-state reversal without a governed correction/reopen event.</t>
  </si>
  <si>
    <t>Finance / ICC + ERP Extension Owner</t>
  </si>
  <si>
    <t>COL-O2C-04 credit/approval extract</t>
  </si>
  <si>
    <t>Validate allowed transitions against current production configuration.</t>
  </si>
  <si>
    <t>Exact RC-credit extension fields and persistence must be confirmed from deployed AGI extension.</t>
  </si>
  <si>
    <t>Keep raw status plus normalized status dimension if vocabularies differ.</t>
  </si>
  <si>
    <t>RUN-O2C-10</t>
  </si>
  <si>
    <t>MAP-O2C-022</t>
  </si>
  <si>
    <t>Activity ID</t>
  </si>
  <si>
    <t>Inventory / reservation</t>
  </si>
  <si>
    <t>Sales Eco / BC / Logistics / Inventory</t>
  </si>
  <si>
    <t>Canonical Activity Name</t>
  </si>
  <si>
    <t>Extract reservation create/release events, location/item/quantity and any persisted availability-at-check evidence.</t>
  </si>
  <si>
    <t>Order/delivery/shipment/return line</t>
  </si>
  <si>
    <t>Requested/approved/reserved/delivered/invoiced/returned quantity depending Activity_Name</t>
  </si>
  <si>
    <t>SO/DO line + item + location</t>
  </si>
  <si>
    <t>Trace reservations to valid order line and inventory location; distinguish reconstructed stock snapshot from actual historical check result.</t>
  </si>
  <si>
    <t>Sales Eco chain requires line-level quantity reconciliation and partial-delivery balance preservation.</t>
  </si>
  <si>
    <t>≥95% sampled reserved lines trace to valid order/location; historical availability metric blocked if the check event was never persisted.</t>
  </si>
  <si>
    <t>Store event quantity with Quantity_Type if needed; do not combine ordered and delivered quantity in one ambiguous column.</t>
  </si>
  <si>
    <t>Document_Line_ID + Item_ID</t>
  </si>
  <si>
    <t>Activity Category</t>
  </si>
  <si>
    <t>Quantity nonnegative unless reversal semantics documented; line balances reconcile across stages.</t>
  </si>
  <si>
    <t>COL-O2C-05 reservation extract</t>
  </si>
  <si>
    <t>Business Meaning / Trigger</t>
  </si>
  <si>
    <t>Order through return</t>
  </si>
  <si>
    <t>Sales/ERP/Logistics/Data</t>
  </si>
  <si>
    <t>Availability-at-check-time may require future instrumentation; do not backfill false history.</t>
  </si>
  <si>
    <t>Expected Source System</t>
  </si>
  <si>
    <t>Sales + Inventory + Finance</t>
  </si>
  <si>
    <t>RUN-O2C-11</t>
  </si>
  <si>
    <t>Confirm exact quantity semantics per Activity_Name and source field.</t>
  </si>
  <si>
    <t>Candidate Source Event / Record</t>
  </si>
  <si>
    <t>Consider separate Quantity_Type in later schema revision if one event table carries multiple quantity semantics.</t>
  </si>
  <si>
    <t>MAP-O2C-023</t>
  </si>
  <si>
    <t>Expected Default Execution Type</t>
  </si>
  <si>
    <t>Logistics planning</t>
  </si>
  <si>
    <t>Event Form</t>
  </si>
  <si>
    <t>Extract DO creation/status, parent SO, source selection, trip grouping, vehicle/driver assignment and loading-advice events.</t>
  </si>
  <si>
    <t>Document line / item master</t>
  </si>
  <si>
    <t>Selected SBU / pilot plant</t>
  </si>
  <si>
    <t>UOM code associated with Quantity</t>
  </si>
  <si>
    <t>Include in Core Process Model</t>
  </si>
  <si>
    <t>DO number + parent SO + trip ID</t>
  </si>
  <si>
    <t>Project evidence identifies UOM as integration-critical and organization-specific.</t>
  </si>
  <si>
    <t>Required Document Type</t>
  </si>
  <si>
    <t>Reconcile DO quantities to SO outstanding quantity; verify source/vehicle assignments and timestamp coverage.</t>
  </si>
  <si>
    <t>Retain source UOM and convert only through governed conversion table for common reporting.</t>
  </si>
  <si>
    <t>Item_ID + UOM code</t>
  </si>
  <si>
    <t>Required Parent / Join</t>
  </si>
  <si>
    <t>Logistics Product + Operations</t>
  </si>
  <si>
    <t>Every non-null Quantity has valid UOM; MT/KG/RFT/piece conversions validated.</t>
  </si>
  <si>
    <t>Terminal Outcome</t>
  </si>
  <si>
    <t>COL-O2C-06 planning/DO extract</t>
  </si>
  <si>
    <t>Master Data + Data</t>
  </si>
  <si>
    <t>Exception / Variant Category</t>
  </si>
  <si>
    <t>Sales / Inventory</t>
  </si>
  <si>
    <t>Primary KPI / Analysis Use</t>
  </si>
  <si>
    <t>Validate item-UOM conversion and organization-specific reporting units.</t>
  </si>
  <si>
    <t>DO/BC mapping remains partly custom and must be confirmed.</t>
  </si>
  <si>
    <t>Pre-Live Evidence Ceiling</t>
  </si>
  <si>
    <t>RUN-O2C-12</t>
  </si>
  <si>
    <t>Never aggregate quantities across incompatible UOM without conversion.</t>
  </si>
  <si>
    <t>Source Confirmation Status</t>
  </si>
  <si>
    <t>Loading / gate / dispatch</t>
  </si>
  <si>
    <t>MAP-O2C-024</t>
  </si>
  <si>
    <t>Logistics / Warehouse / Gate / Weighbridge</t>
  </si>
  <si>
    <t>Notes / Validation Reference</t>
  </si>
  <si>
    <t>Extract loading start/complete, actual loaded quantity, discrepancy, gate-in/out, weighbridge and dispatch events.</t>
  </si>
  <si>
    <t>Pilot plant</t>
  </si>
  <si>
    <t>Business Central primarily; Sales Eco for request context</t>
  </si>
  <si>
    <t>RUN-O2C-04 window; first prove 1-week coverage if source landscape is uncertain</t>
  </si>
  <si>
    <t>ACT-O2C-001</t>
  </si>
  <si>
    <t>Sales order/invoice/customer ledger/receipt/credit memo; Sales Eco order/MR</t>
  </si>
  <si>
    <t>Trip ID + DO + vehicle</t>
  </si>
  <si>
    <t>Document/event amount in source currency</t>
  </si>
  <si>
    <t>Customer Request Captured</t>
  </si>
  <si>
    <t>Cross-check event timestamps against authoritative gate/weighbridge/physical evidence and quantify paper/manual fallback.</t>
  </si>
  <si>
    <t>Timestamp coverage ≥90% for pilot scope before publishing dispatch-cycle/gate-dwell metrics; missing coverage stays visible.</t>
  </si>
  <si>
    <t>Business Central is authoritative for posted financial documents/balances.</t>
  </si>
  <si>
    <t>Logistics / Warehouse / Plant</t>
  </si>
  <si>
    <t>BSES-2973</t>
  </si>
  <si>
    <t>SR Collection Performance, NOD and Recovery Dashboard</t>
  </si>
  <si>
    <t>COL-O2C-07 execution extract</t>
  </si>
  <si>
    <t>Business</t>
  </si>
  <si>
    <t>Source-of-truth discovery first</t>
  </si>
  <si>
    <t>Collections / recovery</t>
  </si>
  <si>
    <t>A new customer/dealer onboarding request is created with organization, customer type and territory context.</t>
  </si>
  <si>
    <t>This is currently one of the least-evidenced parts of O2C and should not be assumed digital.</t>
  </si>
  <si>
    <t>RUN-O2C-13</t>
  </si>
  <si>
    <t>Customer onboarding create/submission record</t>
  </si>
  <si>
    <t>For posted financial events use BC amount; Sales Eco amount is operational/request context only.</t>
  </si>
  <si>
    <t>Human</t>
  </si>
  <si>
    <t>Document_No / ledger entry / receipt reference</t>
  </si>
  <si>
    <t>Epic confirms collection-performance management capability is planned, not live.</t>
  </si>
  <si>
    <t>POD / delivery exceptions</t>
  </si>
  <si>
    <t>Posted invoice/receipt/credit amounts reconcile to BC ledger within documented timing exceptions.</t>
  </si>
  <si>
    <t>Logistics App / mobile POD</t>
  </si>
  <si>
    <t>Invoice / collection / return</t>
  </si>
  <si>
    <t>Do not represent recovery dashboard/management layer as implemented.</t>
  </si>
  <si>
    <t>Extract delivery attempts, delivered quantity, POD recipient/evidence/time and shortage/damage/rejection/partial exception/follow-up.</t>
  </si>
  <si>
    <t>ERP/Finance/Data</t>
  </si>
  <si>
    <t>https://anwarenterprisesystem.atlassian.net/browse/BSES-2973</t>
  </si>
  <si>
    <t>Confirm standard/custom BC API fields used for amount extraction.</t>
  </si>
  <si>
    <t>Do not overwrite financial truth with app display values.</t>
  </si>
  <si>
    <t>MAP-O2C-025</t>
  </si>
  <si>
    <t>Instant</t>
  </si>
  <si>
    <t>Sales order/invoice/receipt/ledger + operational order</t>
  </si>
  <si>
    <t>Currency code</t>
  </si>
  <si>
    <t>Selected SBU/routes</t>
  </si>
  <si>
    <t>BC sales document resources expose currencyCode; financial reconciliation requires currency context.</t>
  </si>
  <si>
    <t>Trip + DO/DN + delivery-attempt ID</t>
  </si>
  <si>
    <t>Yes</t>
  </si>
  <si>
    <t>Use BC currency on posted financial events; inherit only where explicitly safe.</t>
  </si>
  <si>
    <t>Compare completed delivery population to POD/exception outcomes; define completeness by SBU/channel.</t>
  </si>
  <si>
    <t>Customer Request</t>
  </si>
  <si>
    <t>Every completed in-scope digital delivery has a terminal POD or exception state; missing proof stays in denominator.</t>
  </si>
  <si>
    <t>Every financial Amount has a valid currency; base-currency normalization uses approved FX rules.</t>
  </si>
  <si>
    <t>Customer source ID</t>
  </si>
  <si>
    <t>Financial O2C</t>
  </si>
  <si>
    <t>Validate currency fields across invoice, receipt and credit flows.</t>
  </si>
  <si>
    <t>Do not infer currency from organization if multi-currency documents are allowed.</t>
  </si>
  <si>
    <t>MAP-O2C-026</t>
  </si>
  <si>
    <t>Digital onboarding adoption; customer approval cycle</t>
  </si>
  <si>
    <t>Sales Eco / BC workflow</t>
  </si>
  <si>
    <t>Workflow/rule configuration + approval request</t>
  </si>
  <si>
    <t>Boolean derived from active rule and/or approval-entry existence</t>
  </si>
  <si>
    <t>Derived - business rule validation required</t>
  </si>
  <si>
    <t>Confirm actual Sales Eco event/status and timestamp history.</t>
  </si>
  <si>
    <t>Sales Eco and BC designs use approval/rejection/resubmission and exception workflows.</t>
  </si>
  <si>
    <t>Prefer explicit workflow evaluation/result; if absent, derive from governed rule version applicable at event time.</t>
  </si>
  <si>
    <t>COL-O2C-08 POD/exception extract</t>
  </si>
  <si>
    <t>Case/document + rule version</t>
  </si>
  <si>
    <t>No case classified No when an approval entry exists; approved exceptions remain distinguishable.</t>
  </si>
  <si>
    <t>ACT-O2C-002</t>
  </si>
  <si>
    <t>POD deployment/adoption must be proved from production records, not PRD/SDD alone.</t>
  </si>
  <si>
    <t>Customer / credit / pricing / order / MR / return</t>
  </si>
  <si>
    <t>RUN-O2C-14</t>
  </si>
  <si>
    <t>Customer Validation Failed</t>
  </si>
  <si>
    <t>Product/ERP Workflow</t>
  </si>
  <si>
    <t>Receipt / payment application</t>
  </si>
  <si>
    <t>Export current workflow/rule configuration and test representative cases.</t>
  </si>
  <si>
    <t>Extract MR/receipt, bank/subbranch context, BC payment/customer-ledger application, invoice link, unapplied balance and correction/reversal.</t>
  </si>
  <si>
    <t>Necessary to avoid penalizing mandatory controls in Human Dependency metrics.</t>
  </si>
  <si>
    <t>MAP-O2C-027</t>
  </si>
  <si>
    <t>BSES-2974</t>
  </si>
  <si>
    <t>RUN-O2C-04 window plus enough payment lag to close cases</t>
  </si>
  <si>
    <t>Governed access to Collection and Recovery</t>
  </si>
  <si>
    <t>Customer request fails required-field, duplicate, role, organization or territory validation.</t>
  </si>
  <si>
    <t>MR/receipt no. + customer + BC payment/ledger + invoice</t>
  </si>
  <si>
    <t>Reconcile receipt counts/amounts to BC and isolate unapplied/partially applied amounts; never infer invoice match.</t>
  </si>
  <si>
    <t>Approval history / workflow entry</t>
  </si>
  <si>
    <t>100% sampled MR amounts trace to authoritative BC posting or explicit pending/error state.</t>
  </si>
  <si>
    <t>Validation error / rejected submission</t>
  </si>
  <si>
    <t>Finance / Collection + ERP</t>
  </si>
  <si>
    <t>Approved / Rejected / Sent Back / Cancelled / Not Applicable</t>
  </si>
  <si>
    <t>Governed navigation/access remains pending.</t>
  </si>
  <si>
    <t>System Rule</t>
  </si>
  <si>
    <t>COL-O2C-09 MR/payment extract</t>
  </si>
  <si>
    <t>Sales Eco requires rejection reason and audit; approval decisions are explicit process events.</t>
  </si>
  <si>
    <t>Management layer is not operationally ready.</t>
  </si>
  <si>
    <t>https://anwarenterprisesystem.atlassian.net/browse/BSES-2974</t>
  </si>
  <si>
    <t>Business Central customerPayment includes appliesToInvoiceId, appliesToInvoiceNumber and amount, supporting explicit payment-application linkage. Reference: https://learn.microsoft.com/en-us/dynamics365/business-central/dev-itpro/api-reference/v2.0/resources/dynamics_customerpayment</t>
  </si>
  <si>
    <t>RUN-O2C-15</t>
  </si>
  <si>
    <t>Branch terminal / resubmission possible</t>
  </si>
  <si>
    <t>AR / collection baseline</t>
  </si>
  <si>
    <t>CUSTOMER_VALIDATION</t>
  </si>
  <si>
    <t>Business Central + current NOD source</t>
  </si>
  <si>
    <t>Onboarding error rate; rework variants</t>
  </si>
  <si>
    <t>Extract open AR by due date/aging plus existing NOD/commitment/recovery records if authoritative source exists.</t>
  </si>
  <si>
    <t>Normalize source workflow statuses to governed decision dimension.</t>
  </si>
  <si>
    <t>Approval request/entry ID</t>
  </si>
  <si>
    <t>Every completed approval request has one final decision; reopened/resubmitted cycles retain distinct event instances.</t>
  </si>
  <si>
    <t>Customer + invoice/ledger entry + NOD/commitment ID</t>
  </si>
  <si>
    <t>Keep validation failures in the model; do not analyse only successful onboardings.</t>
  </si>
  <si>
    <t>Approval-controlled O2C</t>
  </si>
  <si>
    <t>Reconcile open AR to finance control total before DSO/overdue publication; separately inventory current NOD source and key linkage.</t>
  </si>
  <si>
    <t>Finance owner signs off AR control total; NOD metrics remain blocked until source-of-truth/reconciliation is established.</t>
  </si>
  <si>
    <t>ACT-O2C-003</t>
  </si>
  <si>
    <t>Validate workflow state model and resubmission behavior.</t>
  </si>
  <si>
    <t>BC Customer Creation Requested</t>
  </si>
  <si>
    <t>Do not collapse repeated approval cycles into one row.</t>
  </si>
  <si>
    <t>COL-O2C-10 AR/NOD baseline</t>
  </si>
  <si>
    <t>Ready for AR; NOD source pending</t>
  </si>
  <si>
    <t>MAP-O2C-028</t>
  </si>
  <si>
    <t>New collection/NOD/recovery Jira layer is not evidence of an operational baseline until live data exists.</t>
  </si>
  <si>
    <t>RUN-O2C-16</t>
  </si>
  <si>
    <t>Sales Eco / BC / Logistics / integration</t>
  </si>
  <si>
    <t>Integration</t>
  </si>
  <si>
    <t>Rejection/validation/error/exception record</t>
  </si>
  <si>
    <t>Sales returns</t>
  </si>
  <si>
    <t>Normalized reason code plus raw message/reference</t>
  </si>
  <si>
    <t>Sales Eco + Logistics + Business Central</t>
  </si>
  <si>
    <t>Approved onboarding payload is sent to Business Central to create a pending/blocked customer.</t>
  </si>
  <si>
    <t>Candidate - taxonomy required</t>
  </si>
  <si>
    <t>Extract return request, source DN/invoice, approval, return receipt/inspection, inventory effect, credit memo and timestamps.</t>
  </si>
  <si>
    <t>Sales Eco requires meaningful rejection reasons and integration failure diagnostics.</t>
  </si>
  <si>
    <t>Sales Eco ↔ Business Central integration</t>
  </si>
  <si>
    <t>Map raw reasons to governed taxonomy: validation, credit, stock, mapping, integration, loading, delivery, payment, return, other.</t>
  </si>
  <si>
    <t>60-90 days if return volume is low</t>
  </si>
  <si>
    <t>Customer create API request</t>
  </si>
  <si>
    <t>Source event/error ID</t>
  </si>
  <si>
    <t>Return no. + source DN/invoice + item/qty</t>
  </si>
  <si>
    <t>No material exception with blank reason; unknown codes remain visible for taxonomy governance.</t>
  </si>
  <si>
    <t>Trace returned quantity through inventory and financial adjustment; no approved return with unexplained quantity/credit mismatch.</t>
  </si>
  <si>
    <t>All exception paths</t>
  </si>
  <si>
    <t>Complete return-chain samples pass quantity and financial reconciliation.</t>
  </si>
  <si>
    <t>Product/ERP/Logistics/Data</t>
  </si>
  <si>
    <t>Sales + Logistics + Finance + Inventory</t>
  </si>
  <si>
    <t>Customer</t>
  </si>
  <si>
    <t>RUN-O2C-08, RUN-O2C-13</t>
  </si>
  <si>
    <t>Profile current reason values and approve taxonomy before KPI publication.</t>
  </si>
  <si>
    <t>COL-O2C-11 return-chain extract</t>
  </si>
  <si>
    <t>Sales Eco customer ID / correlation ID</t>
  </si>
  <si>
    <t>Keep raw text for root cause, controlled access where sensitive.</t>
  </si>
  <si>
    <t>Delivered Jira return enhancements remain E2 until live return chains are demonstrated.</t>
  </si>
  <si>
    <t>MAP-O2C-029</t>
  </si>
  <si>
    <t>INTEGRATION</t>
  </si>
  <si>
    <t>RUN-O2C-17</t>
  </si>
  <si>
    <t>Gate 2</t>
  </si>
  <si>
    <t>ERP creation success; integration latency</t>
  </si>
  <si>
    <t>Sales Eco / BC workflow / custom controls</t>
  </si>
  <si>
    <t>Master-data crosswalk</t>
  </si>
  <si>
    <t>Override action/approval path or rule exception record</t>
  </si>
  <si>
    <t>Cross-system masters</t>
  </si>
  <si>
    <t>Build effective-dated crosswalks for Organization/Company, RC, Territory, Customer, Item and UOM.</t>
  </si>
  <si>
    <t>Selected SBU first</t>
  </si>
  <si>
    <t>Use business request event, not each technical retry, in the core model.</t>
  </si>
  <si>
    <t>Boolean + optional override reason/approver</t>
  </si>
  <si>
    <t>Effective during baseline window</t>
  </si>
  <si>
    <t>ACT-O2C-004</t>
  </si>
  <si>
    <t>Source IDs ↔ canonical IDs</t>
  </si>
  <si>
    <t>Credit/discount/other controls may permit explicit governed exceptions; bypass must not be inferred as override.</t>
  </si>
  <si>
    <t>BC Customer Created</t>
  </si>
  <si>
    <t>True only when an authorized override mechanism is explicitly recorded.</t>
  </si>
  <si>
    <t>Check uniqueness, effective dates, organization ownership and UOM conversion validity.</t>
  </si>
  <si>
    <t>Case/document + approval/override entry</t>
  </si>
  <si>
    <t>≥99% mapping coverage for in-scope transactional records before management KPI publication; residual gaps itemized.</t>
  </si>
  <si>
    <t>No override without approver/reason when policy requires; unauthorized bypass kept as separate control failure.</t>
  </si>
  <si>
    <t>Master Data Owners + Product/Data</t>
  </si>
  <si>
    <t>Credit / price / operational exceptions</t>
  </si>
  <si>
    <t>RUN-O2C-05:16</t>
  </si>
  <si>
    <t>Product/ERP Control Engineering</t>
  </si>
  <si>
    <t>Master-data crosswalk tables</t>
  </si>
  <si>
    <t>Business / Integration</t>
  </si>
  <si>
    <t>Finance / Commercial Control</t>
  </si>
  <si>
    <t>BSES-2975</t>
  </si>
  <si>
    <t>Identify implemented override fields/workflows in production.</t>
  </si>
  <si>
    <t>Business Central customer record is successfully created and authoritative Customer No./ID is returned.</t>
  </si>
  <si>
    <t>Working-day position, today's Collection and required pace</t>
  </si>
  <si>
    <t>Known MT/KG/RFT/piece transitions require explicit conversion governance.</t>
  </si>
  <si>
    <t>Essential distinction for control maturity.</t>
  </si>
  <si>
    <t>Collections / performance</t>
  </si>
  <si>
    <t>MAP-O2C-030</t>
  </si>
  <si>
    <t>RUN-O2C-18</t>
  </si>
  <si>
    <t>Customer entity creation / API response</t>
  </si>
  <si>
    <t>Integration service / Business Central telemetry</t>
  </si>
  <si>
    <t>O2C-025,O2C-029</t>
  </si>
  <si>
    <t>Document bridge &amp; case construction</t>
  </si>
  <si>
    <t>Integration request log + BC web-service telemetry</t>
  </si>
  <si>
    <t>Fabric / cross-system</t>
  </si>
  <si>
    <t>Success/failure/retry, HTTP status, elapsed time, endpoint, error category</t>
  </si>
  <si>
    <t>Build CO↔SO↔DO↔DN/shipment↔Invoice↔MR/payment↔Return/Credit bridge, then construct Case_ID.</t>
  </si>
  <si>
    <t>Planned collection performance intelligence.</t>
  </si>
  <si>
    <t>All pilot cases</t>
  </si>
  <si>
    <t>Confirmed capability; deployed capture to validate</t>
  </si>
  <si>
    <t>Baseline window + enough lag to close cases</t>
  </si>
  <si>
    <t>No live evidence for this management capability.</t>
  </si>
  <si>
    <t>Sales Eco customer ID ↔ BC customer ID</t>
  </si>
  <si>
    <t>Explicit source/parent/external references first</t>
  </si>
  <si>
    <t>Business Central logs web-service calls and HTTP failures; Sales Eco baseline requires request/response status and retry count.</t>
  </si>
  <si>
    <t>https://anwarenterprisesystem.atlassian.net/browse/BSES-2975</t>
  </si>
  <si>
    <t>Detect orphan, duplicate, split and merged relationships; keep legitimate one-to-many chains; no fuzzy matching in certified lineage.</t>
  </si>
  <si>
    <t>Normalize technical outcome while retaining raw HTTP/status dimensions.</t>
  </si>
  <si>
    <t>Correlation_ID / client-request-id</t>
  </si>
  <si>
    <t>≥95% eligible digital O2C events resolve to one governed Case_ID; every unresolved event remains in an exception queue.</t>
  </si>
  <si>
    <t>Customer ERP creation success; integration latency</t>
  </si>
  <si>
    <t>All integration requests end in explicit success/failure/pending state; retries correlated to same business request.</t>
  </si>
  <si>
    <t>Product/Data + Sales/Finance/Logistics</t>
  </si>
  <si>
    <t>ERP Integration / Platform</t>
  </si>
  <si>
    <t>Canonical document bridge + Case_ID coverage report</t>
  </si>
  <si>
    <t>Product / Support</t>
  </si>
  <si>
    <t>BC standard API supports customer entities, but confirm AGI's deployed custom integration path.</t>
  </si>
  <si>
    <t>Inspect Application Insights/integration log fields and validate client-request-id propagation.</t>
  </si>
  <si>
    <t>Process Mining requires a Case ID for every event used in the model. Reference: https://learn.microsoft.com/en-us/power-automate/process-mining-processes-and-data</t>
  </si>
  <si>
    <t>ACT-O2C-005</t>
  </si>
  <si>
    <t>Use for reliability analysis, not as business process status.</t>
  </si>
  <si>
    <t>RUN-O2C-19</t>
  </si>
  <si>
    <t>Customer Approval Requested</t>
  </si>
  <si>
    <t>Gate 3</t>
  </si>
  <si>
    <t>MAP-O2C-031</t>
  </si>
  <si>
    <t>Event normalization</t>
  </si>
  <si>
    <t>Fabric / process intelligence</t>
  </si>
  <si>
    <t>Transform extracted evidence into the 33-field O2C Event Schema and controlled Activity/Exception/Execution-Type dictionaries.</t>
  </si>
  <si>
    <t>All pilot source packs</t>
  </si>
  <si>
    <t>Product/SKU master + sales order/shipment/invoice/return line</t>
  </si>
  <si>
    <t>Each baseline refresh</t>
  </si>
  <si>
    <t>Sales Eco SKU ID/code; BC item ID/number</t>
  </si>
  <si>
    <t>Case_ID + Event_ID</t>
  </si>
  <si>
    <t>Pending/blocked customer is submitted to authorized approver.</t>
  </si>
  <si>
    <t>No duplicate Event_ID; core field completeness; raw source lineage retained; unmapped values quarantined.</t>
  </si>
  <si>
    <t>Sales Eco integration explicitly requires mapped item/SKU and UOM; BC line resources carry item/product reference.</t>
  </si>
  <si>
    <t>Core Case_ID, Activity_Name and timestamp fields meet accepted coverage; no silent imputation of missing process history.</t>
  </si>
  <si>
    <t>Maintain governed SKU↔BC Item bridge and preserve both IDs.</t>
  </si>
  <si>
    <t>Product/Data</t>
  </si>
  <si>
    <t>Approval request entry</t>
  </si>
  <si>
    <t>Item mapping table</t>
  </si>
  <si>
    <t>Normalized O2C event log v1</t>
  </si>
  <si>
    <t>Blocked until P0 extracts obtained</t>
  </si>
  <si>
    <t>All line events resolve to valid active/retained item mapping for event date; unmapped lines quarantined.</t>
  </si>
  <si>
    <t>Order / inventory / delivery / invoice / return</t>
  </si>
  <si>
    <t>BC customer ID / approval entry</t>
  </si>
  <si>
    <t>Master Data + ERP Integration</t>
  </si>
  <si>
    <t>Reconcile active Sales Eco SKUs to BC item master and historical codes.</t>
  </si>
  <si>
    <t>APPROVAL</t>
  </si>
  <si>
    <t>Needed for item-level partial delivery/return analysis.</t>
  </si>
  <si>
    <t>Customer approval cycle; waiting time</t>
  </si>
  <si>
    <t>Normalize to the 33-field O2C Event Schema. Microsoft requires Case ID, Activity Name and timestamps; optional resource/event/case attributes extend analysis. Reference: https://learn.microsoft.com/en-us/power-automate/process-mining-processes-and-data</t>
  </si>
  <si>
    <t>MAP-O2C-032</t>
  </si>
  <si>
    <t>RUN-O2C-20</t>
  </si>
  <si>
    <t>Business Central / Sales Eco assignment / Logistics</t>
  </si>
  <si>
    <t>Data-quality certification</t>
  </si>
  <si>
    <t>Separate request event from decision event.</t>
  </si>
  <si>
    <t>BC location/warehouse + source assignment</t>
  </si>
  <si>
    <t>Fabric + source systems</t>
  </si>
  <si>
    <t>ACT-O2C-006</t>
  </si>
  <si>
    <t>Location code / warehouse/source location</t>
  </si>
  <si>
    <t>Run completeness, uniqueness, chronology, orphan, quantity/UOM, amount, provenance and correlation controls.</t>
  </si>
  <si>
    <t>Customer Approved</t>
  </si>
  <si>
    <t>Normalized event log</t>
  </si>
  <si>
    <t>Each refresh</t>
  </si>
  <si>
    <t>Project order/access design states BC owns location/warehouse master while Sales Eco controls permitted assignment.</t>
  </si>
  <si>
    <t>Case_ID / Event_ID / document bridge</t>
  </si>
  <si>
    <t>Use actual transaction/source location rather than user's default assignment.</t>
  </si>
  <si>
    <t>Check missing required fields, duplicates, impossible event order, unmatched docs, quantity overrun, amount mismatch, UOM gaps and source-provenance gaps.</t>
  </si>
  <si>
    <t>Document/line + location</t>
  </si>
  <si>
    <t>No critical control failure; KPI-specific acceptance thresholds met; residual issues published in data-quality scorecard.</t>
  </si>
  <si>
    <t>Location belongs to organization; unavailable/stale codes flagged; historical location retained.</t>
  </si>
  <si>
    <t>Authorized approver accepts customer and customer becomes eligible according to policy.</t>
  </si>
  <si>
    <t>Inventory / fulfilment / logistics</t>
  </si>
  <si>
    <t>Product/Data + Data Owners + Control Owner</t>
  </si>
  <si>
    <t>ERP + Logistics + Product</t>
  </si>
  <si>
    <t>Approval decision / block status change</t>
  </si>
  <si>
    <t>BSES-2976</t>
  </si>
  <si>
    <t>O2C data-quality scorecard</t>
  </si>
  <si>
    <t>MTD Collection progress and probable achievement</t>
  </si>
  <si>
    <t>Confirm persisted location fields on SO/DO/shipment and assignment mapping.</t>
  </si>
  <si>
    <t>Required for source selection and stock analysis.</t>
  </si>
  <si>
    <t>Failed rows remain visible for remediation and denominator governance.</t>
  </si>
  <si>
    <t>MAP-O2C-033</t>
  </si>
  <si>
    <t>RUN-O2C-21</t>
  </si>
  <si>
    <t>Gate 4</t>
  </si>
  <si>
    <t>Forecast/performance view is planned.</t>
  </si>
  <si>
    <t>Human / automation classification</t>
  </si>
  <si>
    <t>CO/SO/DO/shipment/invoice/return line</t>
  </si>
  <si>
    <t>Approval request / BC customer ID</t>
  </si>
  <si>
    <t>Cross-system + user observation</t>
  </si>
  <si>
    <t>No implementation or production evidence.</t>
  </si>
  <si>
    <t>Native line GUID/ID/line number or governed composite</t>
  </si>
  <si>
    <t>Classify events as Human, System Rule, Integration, Device, AI Assist or Agent and run targeted time study for representative human activities.</t>
  </si>
  <si>
    <t>https://anwarenterprisesystem.atlassian.net/browse/BSES-2976</t>
  </si>
  <si>
    <t>Representative cases / roles</t>
  </si>
  <si>
    <t>O2C controls require line-by-line reconciliation, not header-only matching.</t>
  </si>
  <si>
    <t>Customer approval cycle; approval variants</t>
  </si>
  <si>
    <t>2 weeks + baseline sample</t>
  </si>
  <si>
    <t>Prefer immutable native line ID. If systems only preserve line number, combine Document_Type + Document_No + line number + Item_ID and track transformations.</t>
  </si>
  <si>
    <t>Actor + Activity + source + trigger</t>
  </si>
  <si>
    <t>Document_No + line ID/number</t>
  </si>
  <si>
    <t>Separate mandatory approvals from avoidable re-entry/rework/coordination; passive views are not human touches; technical retries are not extra business touches.</t>
  </si>
  <si>
    <t>Human approval is a control touch, not automatically avoidable manual work.</t>
  </si>
  <si>
    <t>No duplicate line key within document; split/merged lines preserve explicit lineage.</t>
  </si>
  <si>
    <t>ACT-O2C-007</t>
  </si>
  <si>
    <t>Order→delivery→invoice→return line reconciliation</t>
  </si>
  <si>
    <t>Customer Rejected</t>
  </si>
  <si>
    <t>Inspect production API/DB schemas and validate split/partial-line behavior.</t>
  </si>
  <si>
    <t>Critical for partial fulfilment and returns.</t>
  </si>
  <si>
    <t>Authorized approver rejects customer onboarding and records reason.</t>
  </si>
  <si>
    <t>Approval rejection</t>
  </si>
  <si>
    <t>≥95% of events used in STP/Human-Touch KPIs have non-Unknown Execution_Type; process/control owners approve methodology.</t>
  </si>
  <si>
    <t>CUSTOMER_REJECTION</t>
  </si>
  <si>
    <t>Transformation + Process Owners + Control Owner</t>
  </si>
  <si>
    <t>Rejection rate; rework variants</t>
  </si>
  <si>
    <t>RUN-O2C-19, RUN-O2C-20</t>
  </si>
  <si>
    <t>COL-O2C-12 classification + time-study baseline</t>
  </si>
  <si>
    <t>Preserve rejection reason taxonomy.</t>
  </si>
  <si>
    <t>Required before Human Touches, Human Minutes, STP and Human Dependency can be treated as E4 metrics.</t>
  </si>
  <si>
    <t>ACT-O2C-008</t>
  </si>
  <si>
    <t>RUN-O2C-22</t>
  </si>
  <si>
    <t>Price Proposal Submitted</t>
  </si>
  <si>
    <t>Gate 5</t>
  </si>
  <si>
    <t>Pilot KPI baseline &amp; evidence promotion</t>
  </si>
  <si>
    <t>O2C Pilot KPI Baseline + Calibration Register</t>
  </si>
  <si>
    <t>Calculate the 15 locked pilot KPIs, sample representative variants, then promote/downgrade O2C segments using E1-E5 rules.</t>
  </si>
  <si>
    <t>Wave 1 O2C</t>
  </si>
  <si>
    <t>A new or revised price/effective-price proposal is submitted into governance workflow.</t>
  </si>
  <si>
    <t>After Gates 0-4</t>
  </si>
  <si>
    <t>Sales Eco / pricing workflow</t>
  </si>
  <si>
    <t>Case_ID + KPI-specific events + evidence links</t>
  </si>
  <si>
    <t>Price proposal submission</t>
  </si>
  <si>
    <t>Recompute KPIs from source/control totals; no KPI published if its acceptance rule fails; trace happy path, partial, exception, return and payment-exception cases.</t>
  </si>
  <si>
    <t>Reportable KPIs have baseline value + data-quality status + evidence level; every calibrated segment has approved current S-state/E-level, blocker and next intervention.</t>
  </si>
  <si>
    <t>Business Process Owner + Transformation Owner + Finance/Control</t>
  </si>
  <si>
    <t>RUN-O2C-20, RUN-O2C-21</t>
  </si>
  <si>
    <t>Price Proposal</t>
  </si>
  <si>
    <t>Wave 1 E3/E4 calibration pack + prioritized intervention backlog</t>
  </si>
  <si>
    <t>Blocked until live data is extracted</t>
  </si>
  <si>
    <t>Proposal/version ID</t>
  </si>
  <si>
    <t>Only after this gate should the executive dashboard show verified maturity or realized business-value metrics.</t>
  </si>
  <si>
    <t>PRICING</t>
  </si>
  <si>
    <t>Price approval cycle; commercial governance</t>
  </si>
  <si>
    <t>Confirm authoritative price-master workflow and versioning source.</t>
  </si>
  <si>
    <t>BSES-2977</t>
  </si>
  <si>
    <t>ACT-O2C-009</t>
  </si>
  <si>
    <t>Compare MTD Actual Collection with due Collection NOD</t>
  </si>
  <si>
    <t>Price Proposal Approved</t>
  </si>
  <si>
    <t>Collections / NOD</t>
  </si>
  <si>
    <t>NOD-to-actual comparison remains planned.</t>
  </si>
  <si>
    <t>Final authorized approval activates the governed price/version/effective date.</t>
  </si>
  <si>
    <t>No live NOD reconciliation evidence.</t>
  </si>
  <si>
    <t>Final approval / price activation</t>
  </si>
  <si>
    <t>https://anwarenterprisesystem.atlassian.net/browse/BSES-2977</t>
  </si>
  <si>
    <t>Price approval cycle; active price lineage</t>
  </si>
  <si>
    <t>Approval levels may vary; canonical activity represents final approval.</t>
  </si>
  <si>
    <t>ACT-O2C-010</t>
  </si>
  <si>
    <t>Customer Order Created</t>
  </si>
  <si>
    <t>Sales user creates draft customer order with customer, item, quantity, UOM, delivery context and RC.</t>
  </si>
  <si>
    <t>Customer Order create</t>
  </si>
  <si>
    <t>Customer Order</t>
  </si>
  <si>
    <t>CO ID</t>
  </si>
  <si>
    <t>Digital order adoption; CO→SO cycle</t>
  </si>
  <si>
    <t>Likely available - confirm</t>
  </si>
  <si>
    <t>Use actual source event/status from Sales Eco audit history.</t>
  </si>
  <si>
    <t>ACT-O2C-011</t>
  </si>
  <si>
    <t>Customer Order Submitted</t>
  </si>
  <si>
    <t>Customer Order leaves draft and is submitted for system/integration/control processing.</t>
  </si>
  <si>
    <t>CO submit/status change</t>
  </si>
  <si>
    <t>BSES-2980</t>
  </si>
  <si>
    <t>Review and act on Collection NOD commitments</t>
  </si>
  <si>
    <t>Commitment action workflow is planned.</t>
  </si>
  <si>
    <t>No production action workflow yet.</t>
  </si>
  <si>
    <t>https://anwarenterprisesystem.atlassian.net/browse/BSES-2980</t>
  </si>
  <si>
    <t>CO→SO STP; CO→SO cycle</t>
  </si>
  <si>
    <t>This is the preferred O2C order-start event when measuring CO→SO.</t>
  </si>
  <si>
    <t>ACT-O2C-012</t>
  </si>
  <si>
    <t>Customer Order Rejected</t>
  </si>
  <si>
    <t>Submitted Customer Order is rejected by governed business/control logic and returns for correction or termination.</t>
  </si>
  <si>
    <t>CO rejection/status history</t>
  </si>
  <si>
    <t>Branch terminal / correction possible</t>
  </si>
  <si>
    <t>ORDER_REJECTION</t>
  </si>
  <si>
    <t>Order rework; exception variants</t>
  </si>
  <si>
    <t>Jira BSES-2719 confirms status-correction behavior exists; production events still need verification.</t>
  </si>
  <si>
    <t>ACT-O2C-013</t>
  </si>
  <si>
    <t>Customer Order Resubmitted</t>
  </si>
  <si>
    <t>Rework</t>
  </si>
  <si>
    <t>A rejected/corrected Customer Order is submitted again.</t>
  </si>
  <si>
    <t>CO resubmission/status history</t>
  </si>
  <si>
    <t>Same CO ID / version history</t>
  </si>
  <si>
    <t>ORDER_REWORK</t>
  </si>
  <si>
    <t>Rework loops; human touches</t>
  </si>
  <si>
    <t>Do not create a new Case_ID solely because an order was resubmitted unless business identity actually changes.</t>
  </si>
  <si>
    <t>BSES-2981</t>
  </si>
  <si>
    <t>ACT-O2C-014</t>
  </si>
  <si>
    <t>Analyze cumulative Collection progress against target and NOD</t>
  </si>
  <si>
    <t>Credit Check Executed</t>
  </si>
  <si>
    <t>Collections / analytics</t>
  </si>
  <si>
    <t>Cumulative collection analysis remains planned.</t>
  </si>
  <si>
    <t>System evaluates customer/RC credit limit against relevant exposure.</t>
  </si>
  <si>
    <t>Do not score as analytics maturity until implemented and fed by reconciled data.</t>
  </si>
  <si>
    <t>Business Central / credit extension</t>
  </si>
  <si>
    <t>https://anwarenterprisesystem.atlassian.net/browse/BSES-2981</t>
  </si>
  <si>
    <t>Credit rule execution</t>
  </si>
  <si>
    <t>Customer Order / Sales Order</t>
  </si>
  <si>
    <t>CO/SO + customer + RC</t>
  </si>
  <si>
    <t>CREDIT</t>
  </si>
  <si>
    <t>Credit auto-clear; credit exception rate</t>
  </si>
  <si>
    <t>TBD - extension evidence required</t>
  </si>
  <si>
    <t>Exact RC-credit event/persistence must be confirmed from deployed extension.</t>
  </si>
  <si>
    <t>ACT-O2C-015</t>
  </si>
  <si>
    <t>Credit Cleared</t>
  </si>
  <si>
    <t>Order passes standard credit rule without manual exception approval.</t>
  </si>
  <si>
    <t>Credit check pass result</t>
  </si>
  <si>
    <t>Credit check event</t>
  </si>
  <si>
    <t>Credit Auto-Clear Rate; STP</t>
  </si>
  <si>
    <t>Must be explicit; absence of approval is not enough to infer auto-clear.</t>
  </si>
  <si>
    <t>ACT-O2C-016</t>
  </si>
  <si>
    <t>Credit Exception Raised</t>
  </si>
  <si>
    <t>Order violates standard credit condition and is routed for exception decision.</t>
  </si>
  <si>
    <t>Request ID</t>
  </si>
  <si>
    <t>Credit exception/approval request</t>
  </si>
  <si>
    <t>Source Domain</t>
  </si>
  <si>
    <t>Credit check + approval request</t>
  </si>
  <si>
    <t>Dataset / Evidence Pack</t>
  </si>
  <si>
    <t>CREDIT_EXCEPTION</t>
  </si>
  <si>
    <t>Required Fields / Evidence</t>
  </si>
  <si>
    <t>Credit Exception Rate; approval cycle</t>
  </si>
  <si>
    <t>Gate ID</t>
  </si>
  <si>
    <t>Baseline Window</t>
  </si>
  <si>
    <t>BSES-2982</t>
  </si>
  <si>
    <t>Differentiate approved policy exception from unauthorized bypass.</t>
  </si>
  <si>
    <t>Control Total / Reconciliation</t>
  </si>
  <si>
    <t>Use Collection Recovery to prioritize overdue commitments</t>
  </si>
  <si>
    <t>Data Quality Test</t>
  </si>
  <si>
    <t>ACT-O2C-017</t>
  </si>
  <si>
    <t>Collections / recovery prioritization</t>
  </si>
  <si>
    <t>Quality Dimension</t>
  </si>
  <si>
    <t>Credit Exception Approved</t>
  </si>
  <si>
    <t>Business Validator</t>
  </si>
  <si>
    <t>Formula / Logic</t>
  </si>
  <si>
    <t>Request Status</t>
  </si>
  <si>
    <t>Recovery prioritization is not yet delivered.</t>
  </si>
  <si>
    <t>Acceptance Threshold</t>
  </si>
  <si>
    <t>Required Fields / Inputs</t>
  </si>
  <si>
    <t>S3 decision-support target remains future-state.</t>
  </si>
  <si>
    <t>Dependency / Blocker</t>
  </si>
  <si>
    <t>Evidence-Level Impact</t>
  </si>
  <si>
    <t>Authorized approver permits the credit exception.</t>
  </si>
  <si>
    <t>https://anwarenterprisesystem.atlassian.net/browse/BSES-2982</t>
  </si>
  <si>
    <t>Expected Output / File Naming</t>
  </si>
  <si>
    <t>Actual Result</t>
  </si>
  <si>
    <t>Credit approval decision</t>
  </si>
  <si>
    <t>Failure Handling</t>
  </si>
  <si>
    <t>DR-O2C-01</t>
  </si>
  <si>
    <t>Notes / Source URL</t>
  </si>
  <si>
    <t>Approval request / order</t>
  </si>
  <si>
    <t>DQ-O2C-01</t>
  </si>
  <si>
    <t>Customer Order header, line and lifecycle history</t>
  </si>
  <si>
    <t>Case ID coverage</t>
  </si>
  <si>
    <t>Approval cycle; override rate; human touches</t>
  </si>
  <si>
    <t>CO ID/No.; organization; customer; RC; item; quantity; UOM; create/submit/approve/reject/resubmit/cancel events; actor; timestamp; downstream/external references</t>
  </si>
  <si>
    <t>Completeness</t>
  </si>
  <si>
    <t>Event + order line</t>
  </si>
  <si>
    <t>Events with governed Case_ID / eligible events</t>
  </si>
  <si>
    <t>Latest complete 30 days; extend to 60 days if volume is low</t>
  </si>
  <si>
    <t>≥95% for eligible digital O2C events; unresolved events remain in orphan queue</t>
  </si>
  <si>
    <t>Approval authority and reason are required evidence attributes.</t>
  </si>
  <si>
    <t>Daily CO count by status and organization reconciles to source totals</t>
  </si>
  <si>
    <t>Case_ID; Source_Record_ID; document bridge</t>
  </si>
  <si>
    <t>ACT-O2C-018</t>
  </si>
  <si>
    <t>Sales Process Owner</t>
  </si>
  <si>
    <t>Blocks E4 if failed; E3 may remain for traceable sampled cases</t>
  </si>
  <si>
    <t>Credit Exception Rejected</t>
  </si>
  <si>
    <t>≥98% events have CO ID and timestamp; ≥95% eligible digital COs have downstream link or documented exclusion</t>
  </si>
  <si>
    <t>Not run</t>
  </si>
  <si>
    <t>Production DB/API/audit access; status-history retention confirmation</t>
  </si>
  <si>
    <t>Investigate broken parent references; never fuzzy-match certified lineage</t>
  </si>
  <si>
    <t>O2C_P0_01_SalesEco_CO_YYYYMMDD</t>
  </si>
  <si>
    <t>Case coverage report + orphan queue</t>
  </si>
  <si>
    <t>Authorized approver rejects the credit exception.</t>
  </si>
  <si>
    <t>Credit rejection decision</t>
  </si>
  <si>
    <t>Branch terminal / order correction possible</t>
  </si>
  <si>
    <t>CREDIT_REJECTION</t>
  </si>
  <si>
    <t>Credit variants; blocked-order analysis</t>
  </si>
  <si>
    <t>Do not drop rejected orders from denominator when analysing credit friction.</t>
  </si>
  <si>
    <t>ACT-O2C-019</t>
  </si>
  <si>
    <t>Price and Discount Validated</t>
  </si>
  <si>
    <t>System resolves approved price/discount and determines whether exception approval is required.</t>
  </si>
  <si>
    <t>Pricing calculation / validation result</t>
  </si>
  <si>
    <t>Order line + price source/version</t>
  </si>
  <si>
    <t>Manual discount exception rate; STP</t>
  </si>
  <si>
    <t>Need explicit source-price/version lineage to classify as controlled.</t>
  </si>
  <si>
    <t>ACT-O2C-020</t>
  </si>
  <si>
    <t>Discount Exception Approved</t>
  </si>
  <si>
    <t>BSES-2983</t>
  </si>
  <si>
    <t>Drill down Collection metrics to governed records/actions</t>
  </si>
  <si>
    <t>Collections / governance</t>
  </si>
  <si>
    <t>Authorized approver accepts a non-standard discount/price exception.</t>
  </si>
  <si>
    <t>Sales Eco / Business Central workflow</t>
  </si>
  <si>
    <t>Traceable metric-to-record drill-down remains planned.</t>
  </si>
  <si>
    <t>Discount approval decision</t>
  </si>
  <si>
    <t>Current evidence cannot support a governed collection control-tower claim.</t>
  </si>
  <si>
    <t>https://anwarenterprisesystem.atlassian.net/browse/BSES-2983</t>
  </si>
  <si>
    <t>Order + approval entry</t>
  </si>
  <si>
    <t>DISCOUNT_EXCEPTION</t>
  </si>
  <si>
    <t>DR-O2C-02</t>
  </si>
  <si>
    <t>Manual Discount Exception Rate; human touches</t>
  </si>
  <si>
    <t>Sales Eco ↔ Business Central Integration</t>
  </si>
  <si>
    <t>Retain approver, threshold, reason and before/after price.</t>
  </si>
  <si>
    <t>API request/response/retry/error telemetry</t>
  </si>
  <si>
    <t>ACT-O2C-021</t>
  </si>
  <si>
    <t>endpoint; correlation/client-request-id; source business reference; request time; response time; HTTP result; elapsed time; retry count; final outcome</t>
  </si>
  <si>
    <t>Stock Availability Checked</t>
  </si>
  <si>
    <t>Logical integration request / attempt</t>
  </si>
  <si>
    <t>Same O2C baseline window</t>
  </si>
  <si>
    <t>Source requests reconcile to BC calls and resulting business records</t>
  </si>
  <si>
    <t>System evaluates available/committed/reserved quantity across eligible inventory locations.</t>
  </si>
  <si>
    <t>No unexplained request/result gap above 2%; retries traceable to one logical business request</t>
  </si>
  <si>
    <t>Availability check event or persisted snapshot</t>
  </si>
  <si>
    <t>Application Insights/telemetry access; caller must propagate client-request-id where configured</t>
  </si>
  <si>
    <t>O2C_P0_02_IntegrationTelemetry_YYYYMMDD</t>
  </si>
  <si>
    <t>Yes, if historical check is actually persisted</t>
  </si>
  <si>
    <t>Sales Order / Delivery Order</t>
  </si>
  <si>
    <t>Order line + item + location</t>
  </si>
  <si>
    <t>INVENTORY</t>
  </si>
  <si>
    <t>TBD - instrumentation may be required</t>
  </si>
  <si>
    <t>If only current-state inventory exists, do not reconstruct a fake historical check event.</t>
  </si>
  <si>
    <t>ACT-O2C-022</t>
  </si>
  <si>
    <t>Stock Shortage Detected</t>
  </si>
  <si>
    <t>Availability check identifies insufficient eligible stock.</t>
  </si>
  <si>
    <t>Shortage/availability failure</t>
  </si>
  <si>
    <t>Yes, if event is persisted</t>
  </si>
  <si>
    <t>BSES-2984</t>
  </si>
  <si>
    <t>Consolidated and reconcilable Collection dashboard data service</t>
  </si>
  <si>
    <t>STOCK_SHORTAGE</t>
  </si>
  <si>
    <t>Collections / data service</t>
  </si>
  <si>
    <t>Partial Fulfillment; exception variants</t>
  </si>
  <si>
    <t>O2C-025,O2C-028:029</t>
  </si>
  <si>
    <t>Authoritative collection data service remains planned.</t>
  </si>
  <si>
    <t>Use actual shortage event, not later outstanding balance alone, when measuring decision-path timing.</t>
  </si>
  <si>
    <t>Key blocker for reliable collection KPI baseline.</t>
  </si>
  <si>
    <t>ACT-O2C-023</t>
  </si>
  <si>
    <t>https://anwarenterprisesystem.atlassian.net/browse/BSES-2984</t>
  </si>
  <si>
    <t>Reservation Created</t>
  </si>
  <si>
    <t>Business / Control</t>
  </si>
  <si>
    <t>Inventory quantity is reserved against confirmed order demand.</t>
  </si>
  <si>
    <t>Reservation entry creation</t>
  </si>
  <si>
    <t>Sales Order</t>
  </si>
  <si>
    <t>SO line + reservation entry</t>
  </si>
  <si>
    <t>Likely available - confirm API/table history</t>
  </si>
  <si>
    <t>Execution_Type may be Human when reservation is manually created; classify from actor/trigger evidence.</t>
  </si>
  <si>
    <t>ACT-O2C-024</t>
  </si>
  <si>
    <t>Reservation Released</t>
  </si>
  <si>
    <t>Business / Exception</t>
  </si>
  <si>
    <t>Existing reservation is released because of cancellation, expiry, reallocation or downstream completion.</t>
  </si>
  <si>
    <t>Reservation release/deletion history</t>
  </si>
  <si>
    <t>DR-O2C-03</t>
  </si>
  <si>
    <t>Sales Orders and lines</t>
  </si>
  <si>
    <t>id/GUID; number; externalDocumentNumber/source reference; customer; order/posting dates; status; line ID/line no.; item; quantity; UOM; location; custom RC/source fields where implemented</t>
  </si>
  <si>
    <t>Sales Order header + line</t>
  </si>
  <si>
    <t>RESERVATION_RELEASE</t>
  </si>
  <si>
    <t>Baseline window + linked active cases</t>
  </si>
  <si>
    <t>BC SO counts and sample records reconcile to authoritative BC UI/control total</t>
  </si>
  <si>
    <t>Reservation stability; exception variants</t>
  </si>
  <si>
    <t>ERP / BC Team</t>
  </si>
  <si>
    <t>All eligible in-scope SOs extracted; CO/external linkage coverage quantified; custom fields not assumed</t>
  </si>
  <si>
    <t>Need historical release reason to distinguish normal consumption from rework/reallocation.</t>
  </si>
  <si>
    <t>BSES-2985</t>
  </si>
  <si>
    <t>BC API/data access; deployed custom-extension schema</t>
  </si>
  <si>
    <t>Reconcile Collection dashboard amounts to authoritative financial records</t>
  </si>
  <si>
    <t>O2C_P0_03_BC_SalesOrders_YYYYMMDD</t>
  </si>
  <si>
    <t>ACT-O2C-025</t>
  </si>
  <si>
    <t>Collection reconciliation</t>
  </si>
  <si>
    <t>O2C-025,O2C-028</t>
  </si>
  <si>
    <t>https://learn.microsoft.com/en-us/dynamics365/business-central/dev-itpro/api-reference/v2.0/resources/dynamics_salesorder</t>
  </si>
  <si>
    <t>DQ-O2C-02</t>
  </si>
  <si>
    <t>Sales Order Created</t>
  </si>
  <si>
    <t>Event ID uniqueness</t>
  </si>
  <si>
    <t>Explicit requirement for authoritative financial reconciliation is not yet implemented.</t>
  </si>
  <si>
    <t>Uniqueness</t>
  </si>
  <si>
    <t>Critical blocker for E4/E5 collection metrics.</t>
  </si>
  <si>
    <t>Duplicate Event_ID count after governed retry normalization</t>
  </si>
  <si>
    <t>https://anwarenterprisesystem.atlassian.net/browse/BSES-2985</t>
  </si>
  <si>
    <t>0 duplicate business events</t>
  </si>
  <si>
    <t>Authoritative Business Central Sales Order is created from Customer Order or approved source.</t>
  </si>
  <si>
    <t>Event_ID; Correlation_ID; Source_Record_ID; timestamp</t>
  </si>
  <si>
    <t>Blocks certified E3/E4 dataset if duplicates affect business sequence</t>
  </si>
  <si>
    <t>salesOrder create / record creation</t>
  </si>
  <si>
    <t>Separate legitimate technical retries from duplicate ingestions</t>
  </si>
  <si>
    <t>CO source/external reference ↔ SO GUID/number</t>
  </si>
  <si>
    <t>Duplicate-event exception report</t>
  </si>
  <si>
    <t>CO→SO STP; CO→SO Cycle Time</t>
  </si>
  <si>
    <t>Internal AGI event-schema control</t>
  </si>
  <si>
    <t>DQ-O2C-03</t>
  </si>
  <si>
    <t>Standard BC entity; cross-link TBD</t>
  </si>
  <si>
    <t>Core timestamp completeness</t>
  </si>
  <si>
    <t>Business Central API v2.0 supports salesOrder resources; production event history is still required for E3. Reference: https://learn.microsoft.com/en-us/dynamics365/business-central/dev-itpro/api-reference/v2.0/resources/dynamics_salesorder</t>
  </si>
  <si>
    <t>Core events with Event_Timestamp / core events</t>
  </si>
  <si>
    <t>ACT-O2C-026</t>
  </si>
  <si>
    <t>Sales Order Eligible for Fulfillment</t>
  </si>
  <si>
    <t>≥98% for core milestones; 100% for events used in cycle-time KPI</t>
  </si>
  <si>
    <t>Sales Order has passed required commercial/credit/stock/release controls and is ready for DO planning.</t>
  </si>
  <si>
    <t>Activity_Name; Event_Timestamp</t>
  </si>
  <si>
    <t>KPI-specific publication blocked when required timestamp is missing</t>
  </si>
  <si>
    <t>Released/eligible status or governed derived readiness event</t>
  </si>
  <si>
    <t>Source Owners + Product/Data</t>
  </si>
  <si>
    <t>Flag missing source history; do not impute event time from ingestion time</t>
  </si>
  <si>
    <t>Timestamp coverage scorecard</t>
  </si>
  <si>
    <t>SO ID/status + control results</t>
  </si>
  <si>
    <t>DR-O2C-04</t>
  </si>
  <si>
    <t>Posted Sales Shipments / DN mapping and Sales Invoices</t>
  </si>
  <si>
    <t>shipment id/number; orderNumber; posting date; line qty/UOM/item; invoice id/number; customer; posting date; amount; currency; source/external references</t>
  </si>
  <si>
    <t>Posted shipment/invoice header + line</t>
  </si>
  <si>
    <t>Baseline window + enough lag to close linked cases</t>
  </si>
  <si>
    <t>DQ-O2C-04</t>
  </si>
  <si>
    <t>TBD - exact readiness event must be defined</t>
  </si>
  <si>
    <t>Chronology validity</t>
  </si>
  <si>
    <t>Shipment/invoice counts, quantities and amounts reconcile to BC control totals</t>
  </si>
  <si>
    <t>Lock one exact readiness event across SBUs; do not vary denominator silently.</t>
  </si>
  <si>
    <t>Validity</t>
  </si>
  <si>
    <t>Cases without impossible event order / cases checked</t>
  </si>
  <si>
    <t>ACT-O2C-027</t>
  </si>
  <si>
    <t>≥99%; all remaining anomalies individually classified</t>
  </si>
  <si>
    <t>Delivery Order Created</t>
  </si>
  <si>
    <t>≥95% sampled completed cases reconstruct without manual guesswork; all exceptions retained</t>
  </si>
  <si>
    <t>Case_ID; Activity_Name; Event_Timestamp</t>
  </si>
  <si>
    <t>Confirm AGI DN semantics and any custom mapping</t>
  </si>
  <si>
    <t>O2C_P0_04_BC_ShipmentInvoice_YYYYMMDD</t>
  </si>
  <si>
    <t>Blocks affected cycle-time/variant KPI; sampled cases may remain E3 with exception</t>
  </si>
  <si>
    <t>https://learn.microsoft.com/en-us/dynamics365/business-central/dev-itpro/api-reference/v2.0/resources/dynamics_salesshipment</t>
  </si>
  <si>
    <t>BSES-2986</t>
  </si>
  <si>
    <t>Handle empty, missing, stale and failed Collection dashboard states</t>
  </si>
  <si>
    <t>Delivery Order is created from eligible Sales Order quantity while preserving parent and outstanding balance.</t>
  </si>
  <si>
    <t>Collection data quality</t>
  </si>
  <si>
    <t>Check timezone/source-clock issue before classifying process defect</t>
  </si>
  <si>
    <t>DO create</t>
  </si>
  <si>
    <t>Chronology anomaly report</t>
  </si>
  <si>
    <t>Data-quality failure-state handling remains planned.</t>
  </si>
  <si>
    <t>Workbook timezone set to Asia/Dhaka; retain source UTC/offset where available</t>
  </si>
  <si>
    <t>No trustworthy management dashboard until stale/failed data states are controlled.</t>
  </si>
  <si>
    <t>DQ-O2C-05</t>
  </si>
  <si>
    <t>Delivery Order</t>
  </si>
  <si>
    <t>https://anwarenterprisesystem.atlassian.net/browse/BSES-2986</t>
  </si>
  <si>
    <t>Source-to-control-total reconciliation</t>
  </si>
  <si>
    <t>Parent SO + DO number/ID</t>
  </si>
  <si>
    <t>Completeness / Accuracy</t>
  </si>
  <si>
    <t>Extracted record/event counts and financial totals vs source control totals</t>
  </si>
  <si>
    <t>100% explained; timing differences documented</t>
  </si>
  <si>
    <t>SO→DO Cycle Time; Partial Fulfillment Rate</t>
  </si>
  <si>
    <t>Source_System; source counts; amount/qty control totals</t>
  </si>
  <si>
    <t>Blocks E4 publication until unexplained gaps are resolved</t>
  </si>
  <si>
    <t>Data Owner + Finance/Process Owner</t>
  </si>
  <si>
    <t>TBD - AGI custom/BC mapping</t>
  </si>
  <si>
    <t>Do not assume DO is a standard BC API resource; confirm implemented custom extension.</t>
  </si>
  <si>
    <t>Classify extraction filter, timing, failed ingestion or source inconsistency</t>
  </si>
  <si>
    <t>ACT-O2C-028</t>
  </si>
  <si>
    <t>Source reconciliation worksheet</t>
  </si>
  <si>
    <t>Delivery Source Assigned</t>
  </si>
  <si>
    <t>Internal control requirement</t>
  </si>
  <si>
    <t>DQ-O2C-06</t>
  </si>
  <si>
    <t>Document bridge coverage</t>
  </si>
  <si>
    <t>Lineage</t>
  </si>
  <si>
    <t>Business / Planning</t>
  </si>
  <si>
    <t>Eligible child documents with explicit governed parent / eligible child documents</t>
  </si>
  <si>
    <t>Factory/depot/warehouse source is assigned for delivery execution.</t>
  </si>
  <si>
    <t>≥95% overall; target 100% for finance-critical invoice/payment relations</t>
  </si>
  <si>
    <t>Document_Type; Document_No; Parent_Document_No; Source_Record_ID</t>
  </si>
  <si>
    <t>Source assignment/allocation event</t>
  </si>
  <si>
    <t>Blocks end-to-end E4 reconciliation if below threshold</t>
  </si>
  <si>
    <t>Product/Data + Sales/Logistics/Finance</t>
  </si>
  <si>
    <t>Retain orphan queue with owner and age; do not drop unmatched records</t>
  </si>
  <si>
    <t>DR-O2C-05</t>
  </si>
  <si>
    <t>Document bridge coverage report</t>
  </si>
  <si>
    <t>DO + source location</t>
  </si>
  <si>
    <t>Internal O2C control-tower requirement</t>
  </si>
  <si>
    <t>Business Central / Credit Extension</t>
  </si>
  <si>
    <t>Credit check and approval evidence</t>
  </si>
  <si>
    <t>DQ-O2C-07</t>
  </si>
  <si>
    <t>SOURCE_OVERRIDE</t>
  </si>
  <si>
    <t>order; customer; RC; credit limit; exposure; check result; exception/override flag; approval request; decision; approver; reason; timestamps</t>
  </si>
  <si>
    <t>Quantity balance reconciliation</t>
  </si>
  <si>
    <t>Credit check / approval event</t>
  </si>
  <si>
    <t>Source override analysis; human touches</t>
  </si>
  <si>
    <t>Accuracy</t>
  </si>
  <si>
    <t>Baseline window</t>
  </si>
  <si>
    <t>Passed, failed, rejected and overridden cases reconcile to order population and approved policy</t>
  </si>
  <si>
    <t>Ordered/authorized vs delivered/invoiced/returned line quantities within approved tolerance and split rules</t>
  </si>
  <si>
    <t>ERP Extension Owner</t>
  </si>
  <si>
    <t>100% explained for sampled financial/fulfilment chains</t>
  </si>
  <si>
    <t>Expected execution may evolve to System Rule/AI Assist; classify actual event, not target design.</t>
  </si>
  <si>
    <t>Document_Line_ID; Item_ID; Quantity; UOM; document bridge</t>
  </si>
  <si>
    <t>Blocks partial-fulfilment and return E4 KPI when material mismatches remain</t>
  </si>
  <si>
    <t>ACT-O2C-029</t>
  </si>
  <si>
    <t>Every sampled eligible order has explicit credit outcome or documented policy exclusion; overrides attributable</t>
  </si>
  <si>
    <t>Sales + Logistics + Inventory + Finance</t>
  </si>
  <si>
    <t>Delivery Order Scheduled</t>
  </si>
  <si>
    <t>Exact RC-credit fields and rule-execution persistence not yet verified</t>
  </si>
  <si>
    <t>O2C_P0_05_CreditApproval_YYYYMMDD</t>
  </si>
  <si>
    <t>Separate planned split, undelivered balance, return and true mismatch</t>
  </si>
  <si>
    <t>Quantity reconciliation report</t>
  </si>
  <si>
    <t>Internal design requires line-by-line reconciliation</t>
  </si>
  <si>
    <t>DQ-O2C-08</t>
  </si>
  <si>
    <t>DO is assigned to a planned delivery date/window or trip planning queue.</t>
  </si>
  <si>
    <t>UOM validity and conversion</t>
  </si>
  <si>
    <t>Quantity events with valid UOM and approved conversion where common reporting is required</t>
  </si>
  <si>
    <t>DO scheduled / planning event</t>
  </si>
  <si>
    <t>100% for quantity events used in aggregated KPI</t>
  </si>
  <si>
    <t>Item_ID; Quantity; UOM; conversion table; organization</t>
  </si>
  <si>
    <t>Blocks aggregated quantity KPI when incompatible UOM is unresolved</t>
  </si>
  <si>
    <t>Inventory/Master Data + Product/Data</t>
  </si>
  <si>
    <t>DO ID</t>
  </si>
  <si>
    <t>Never aggregate MT/KG/RFT/piece without governed conversion</t>
  </si>
  <si>
    <t>BSES-2987</t>
  </si>
  <si>
    <t>UOM exception report</t>
  </si>
  <si>
    <t>Validate Collection dashboard accessibility, performance and business acceptance</t>
  </si>
  <si>
    <t>Known AGI unit transitions require effective-dated mapping</t>
  </si>
  <si>
    <t>DO→Dispatch Cycle Time; schedule adherence</t>
  </si>
  <si>
    <t>Collection acceptance</t>
  </si>
  <si>
    <t>DQ-O2C-09</t>
  </si>
  <si>
    <t>Financial amount reconciliation</t>
  </si>
  <si>
    <t>Need actual planned timestamp/window for adherence metrics.</t>
  </si>
  <si>
    <t>Business acceptance/performance testing is pending.</t>
  </si>
  <si>
    <t>ACT-O2C-030</t>
  </si>
  <si>
    <t>Invoice/receipt/credit amounts reconcile to authoritative BC ledger within documented timing/currency rules</t>
  </si>
  <si>
    <t>Management layer cannot be considered adopted until this is evidenced.</t>
  </si>
  <si>
    <t>Trip Created</t>
  </si>
  <si>
    <t>100% explained for sampled financial chains</t>
  </si>
  <si>
    <t>https://anwarenterprisesystem.atlassian.net/browse/BSES-2987</t>
  </si>
  <si>
    <t>Amount; Currency; invoice/payment/credit refs</t>
  </si>
  <si>
    <t>Blocks finance KPI E4 if unexplained variance exists</t>
  </si>
  <si>
    <t>Finance + ERP/Data</t>
  </si>
  <si>
    <t>One or more DOs are grouped into an executable trip with stops/payload/route context.</t>
  </si>
  <si>
    <t>Use BC as financial authority for posted events; keep app values as operational context</t>
  </si>
  <si>
    <t>DR-O2C-06</t>
  </si>
  <si>
    <t>Financial reconciliation report</t>
  </si>
  <si>
    <t>Trip plan create</t>
  </si>
  <si>
    <t>https://learn.microsoft.com/en-us/dynamics365/business-central/dev-itpro/api-reference/v2.0/resources/dynamics_customerpayment</t>
  </si>
  <si>
    <t>Reservation and availability evidence</t>
  </si>
  <si>
    <t>SO/DO line; item; location; reserved qty; reservation create/release; availability result/snapshot if persisted; timestamp; actor/trigger</t>
  </si>
  <si>
    <t>Reservation / line event</t>
  </si>
  <si>
    <t>Trip</t>
  </si>
  <si>
    <t>Reservation totals reconcile to valid order lines and locations</t>
  </si>
  <si>
    <t>Trip ID ↔ DO membership</t>
  </si>
  <si>
    <t>Inventory Process Owner</t>
  </si>
  <si>
    <t>Trip consolidation; logistics variants</t>
  </si>
  <si>
    <t>≥95% sampled reserved lines trace to valid order/location; historical availability KPI blocked if no persisted event</t>
  </si>
  <si>
    <t>Historical availability-at-check may require future instrumentation</t>
  </si>
  <si>
    <t>O2C_P1_06_BC_ReservationAvailability_YYYYMMDD</t>
  </si>
  <si>
    <t>https://learn.microsoft.com/en-us/dynamics365/business-central/dev-itpro/api-reference/v2.0/resources/dynamics_salesorderline</t>
  </si>
  <si>
    <t>Future optimization recommendations should still retain the committed human/system event.</t>
  </si>
  <si>
    <t>ACT-O2C-031</t>
  </si>
  <si>
    <t>Vehicle and Driver Assigned</t>
  </si>
  <si>
    <t>Eligible vehicle/driver/transporter is committed to the trip.</t>
  </si>
  <si>
    <t>Vehicle/driver assignment</t>
  </si>
  <si>
    <t>Trip + vehicle + driver</t>
  </si>
  <si>
    <t>VEHICLE_EXCEPTION</t>
  </si>
  <si>
    <t>Vehicle utilization; assignment automation; human touches</t>
  </si>
  <si>
    <t>Record eligibility failures separately if available.</t>
  </si>
  <si>
    <t>ACT-O2C-032</t>
  </si>
  <si>
    <t>Loading Advice Created</t>
  </si>
  <si>
    <t>Executable loading/picking instruction is created against DO and source inventory.</t>
  </si>
  <si>
    <t>DQ-O2C-10</t>
  </si>
  <si>
    <t>Loading advice / pick instruction create</t>
  </si>
  <si>
    <t>Actor identity coverage</t>
  </si>
  <si>
    <t>Auditability</t>
  </si>
  <si>
    <t>Human/control events with attributable user/service identity / eligible events</t>
  </si>
  <si>
    <t>DR-O2C-07</t>
  </si>
  <si>
    <t>≥95%; shared/generic accounts explicitly classified</t>
  </si>
  <si>
    <t>Actor_User_ID; Actor_Role; Source_System</t>
  </si>
  <si>
    <t>Loading Advice / Pick</t>
  </si>
  <si>
    <t>Blocks Human Dependency E4 if identity coverage is insufficient</t>
  </si>
  <si>
    <t>DO + location</t>
  </si>
  <si>
    <t>Identity/Admin + Control Owner</t>
  </si>
  <si>
    <t>DO, source allocation, trip planning and assignment</t>
  </si>
  <si>
    <t>DO ID/No.; parent SO; line qty; outstanding qty; source location; trip ID; planned date/window; vehicle; driver; transporter; loading advice; status history; actor; timestamps</t>
  </si>
  <si>
    <t>Do not classify a shared account as one individual; remediate audit weakness separately</t>
  </si>
  <si>
    <t>DO / trip / assignment event</t>
  </si>
  <si>
    <t>Identity coverage + shared-account exceptions</t>
  </si>
  <si>
    <t>DO→loading cycle; automation</t>
  </si>
  <si>
    <t>Internal audit / Sales Eco actor-evidence requirement</t>
  </si>
  <si>
    <t>DO quantity reconciles to SO outstanding quantity; parent SO reference coverage reported</t>
  </si>
  <si>
    <t>DQ-O2C-11</t>
  </si>
  <si>
    <t>Execution type classification</t>
  </si>
  <si>
    <t>Logistics Process Owner</t>
  </si>
  <si>
    <t>Classification</t>
  </si>
  <si>
    <t>Confirm which system is authoritative for loading advice at each SBU.</t>
  </si>
  <si>
    <t>Events used in STP/Human Touch metrics with non-Unknown Execution_Type / eligible events</t>
  </si>
  <si>
    <t>≥95%</t>
  </si>
  <si>
    <t>Parent SO present for ≥98% eligible DOs; no DO exceeds authorized outstanding quantity</t>
  </si>
  <si>
    <t>ACT-O2C-033</t>
  </si>
  <si>
    <t>Activity_Name; Actor_User_ID; Source_System; trigger; Execution_Type</t>
  </si>
  <si>
    <t>Logistics production access; DO↔BC mapping confirmation</t>
  </si>
  <si>
    <t>Blocks STP/Human Dependency E4 when below threshold</t>
  </si>
  <si>
    <t>Loading Started</t>
  </si>
  <si>
    <t>O2C_P0_07_Logistics_DOTrip_YYYYMMDD</t>
  </si>
  <si>
    <t>Transformation + Process Owners</t>
  </si>
  <si>
    <t>Internal Logistics PRD/SDD + deployed app schema</t>
  </si>
  <si>
    <t>DR-O2C-08</t>
  </si>
  <si>
    <t>Mandatory approval remains Human; technical retry remains Integration, not extra business touch</t>
  </si>
  <si>
    <t>Execution-type coverage report</t>
  </si>
  <si>
    <t>Physical loading begins for the trip/DO.</t>
  </si>
  <si>
    <t>Internal AGI transformation model</t>
  </si>
  <si>
    <t>Loading, gate and dispatch execution</t>
  </si>
  <si>
    <t>Logistics / Warehouse / device source</t>
  </si>
  <si>
    <t>DQ-O2C-12</t>
  </si>
  <si>
    <t>trip/DO; loading start/complete; actual loaded qty; discrepancy/reason; gate-in/out; weighbridge; dispatch timestamp; vehicle; actor/device</t>
  </si>
  <si>
    <t>Loading start event</t>
  </si>
  <si>
    <t>Execution event</t>
  </si>
  <si>
    <t>Integration correlation coverage</t>
  </si>
  <si>
    <t>First prove 1-week coverage; then baseline window</t>
  </si>
  <si>
    <t>Traceability</t>
  </si>
  <si>
    <t>Events cross-check to authoritative physical/gate/weighbridge records; paper fallback quantified</t>
  </si>
  <si>
    <t>Instant or Start-End activity</t>
  </si>
  <si>
    <t>Integration-driven events with usable Correlation_ID / integration-driven events</t>
  </si>
  <si>
    <t>Yes if reliably captured</t>
  </si>
  <si>
    <t>≥95% for pilot endpoints</t>
  </si>
  <si>
    <t>Logistics + Plant Operations</t>
  </si>
  <si>
    <t>Trip / Delivery Order</t>
  </si>
  <si>
    <t>Correlation_ID; Source_Record_ID; Technical_Result</t>
  </si>
  <si>
    <t>Trip + DO</t>
  </si>
  <si>
    <t>Timestamp coverage ≥90% before publishing dispatch-cycle/gate-dwell KPIs</t>
  </si>
  <si>
    <t>Does not block all E3 evidence, but blocks certified retry/root-cause KPI when below threshold</t>
  </si>
  <si>
    <t>Authoritative source system for gate/weighbridge/loading not established</t>
  </si>
  <si>
    <t>O2C_P0_08_LoadGateDispatch_YYYYMMDD</t>
  </si>
  <si>
    <t>Internal Logistics PRD/SDD; live source confirmation required</t>
  </si>
  <si>
    <t>Loading cycle time; human minutes</t>
  </si>
  <si>
    <t>DR-O2C-09</t>
  </si>
  <si>
    <t>Configure/propagate client-request-id where applicable</t>
  </si>
  <si>
    <t>Logistics App / Mobile</t>
  </si>
  <si>
    <t>Correlation coverage report</t>
  </si>
  <si>
    <t>TBD - field instrumentation required</t>
  </si>
  <si>
    <t>POD and delivery exceptions</t>
  </si>
  <si>
    <t>trip/DO/DN; delivery attempt; delivered qty; recipient; POD/evidence reference; timestamp; shortage/damage/rejection/partial reason; follow-up</t>
  </si>
  <si>
    <t>Do not infer physical start from document creation.</t>
  </si>
  <si>
    <t>Delivery attempt / POD event</t>
  </si>
  <si>
    <t>ACT-O2C-034</t>
  </si>
  <si>
    <t>Completed delivery population reconciles to POD or explicit terminal exception</t>
  </si>
  <si>
    <t>Loading Completed</t>
  </si>
  <si>
    <t>Sales + Logistics</t>
  </si>
  <si>
    <t>Every completed in-scope digital delivery has terminal POD or exception state; missing proof remains in denominator</t>
  </si>
  <si>
    <t>POD deployment/adoption and attachment metadata retention</t>
  </si>
  <si>
    <t>O2C_P0_09_PODExceptions_YYYYMMDD</t>
  </si>
  <si>
    <t>Internal Logistics PRD/SDD; live deployment evidence required</t>
  </si>
  <si>
    <t>DR-O2C-10</t>
  </si>
  <si>
    <t>Actual loaded quantity is confirmed and loading is completed.</t>
  </si>
  <si>
    <t>Money Receipt, customer payment and application</t>
  </si>
  <si>
    <t>Loading confirmation</t>
  </si>
  <si>
    <t>MR/receipt No.; customer; amount; currency; bank/subbranch; external reference; BC payment id/no.; appliesToInvoice id/no.; unapplied balance; reversal/correction; timestamps</t>
  </si>
  <si>
    <t>Receipt / application event</t>
  </si>
  <si>
    <t>Baseline window + enough payment lag to close cases</t>
  </si>
  <si>
    <t>Receipt counts/amounts reconcile to BC and unapplied/partial amounts are explicit</t>
  </si>
  <si>
    <t>Trip + DO + item/line</t>
  </si>
  <si>
    <t>100% sampled MR amounts trace to authoritative BC posting or explicit pending/error state</t>
  </si>
  <si>
    <t>MR→BC linkage and payment-application mapping</t>
  </si>
  <si>
    <t>O2C_P0_10_MRPaymentApplication_YYYYMMDD</t>
  </si>
  <si>
    <t>Loading accuracy; DO→dispatch cycle</t>
  </si>
  <si>
    <t>Actual quantity and completion time must be captured digitally to support E3/E4.</t>
  </si>
  <si>
    <t>ACT-O2C-035</t>
  </si>
  <si>
    <t>Loading Discrepancy Recorded</t>
  </si>
  <si>
    <t>Actual loading differs from authorized/advised quantity or item and requires a reason/disposition.</t>
  </si>
  <si>
    <t>DQ-O2C-13</t>
  </si>
  <si>
    <t>Master crosswalk coverage</t>
  </si>
  <si>
    <t>Loading discrepancy</t>
  </si>
  <si>
    <t>In-scope transaction rows resolved to valid Organization/Customer/Item/RC/location mapping</t>
  </si>
  <si>
    <t>≥99% before management KPI publication</t>
  </si>
  <si>
    <t>Organization; Customer_ID; Item_ID; RC; Location_Code; effective dates</t>
  </si>
  <si>
    <t>Blocks segmented E4 KPI where unresolved mapping affects denominator/numerator</t>
  </si>
  <si>
    <t>Trip + DO + line</t>
  </si>
  <si>
    <t>Quarantine unresolved or cross-organization mapping errors</t>
  </si>
  <si>
    <t>LOADING_EXCEPTION</t>
  </si>
  <si>
    <t>Master-data coverage report</t>
  </si>
  <si>
    <t>Loading discrepancy; partial fulfilment; exception analysis</t>
  </si>
  <si>
    <t>Internal cross-system governance requirement</t>
  </si>
  <si>
    <t>DQ-O2C-14</t>
  </si>
  <si>
    <t>POD / terminal delivery completeness</t>
  </si>
  <si>
    <t>Completeness / Adoption</t>
  </si>
  <si>
    <t>Missing reason must be a data-quality exception, not treated as normal.</t>
  </si>
  <si>
    <t>Completed digital deliveries with terminal POD or explicit exception / completed digital deliveries</t>
  </si>
  <si>
    <t>ACT-O2C-036</t>
  </si>
  <si>
    <t>100% terminal state for pilot scope; POD completeness rule varies by SBU/channel</t>
  </si>
  <si>
    <t>Gate Released</t>
  </si>
  <si>
    <t>Case_ID; DO/DN; delivery attempt; POD/exception state; timestamp</t>
  </si>
  <si>
    <t>Blocks POD Capture / delivery-cycle E4 KPI when terminal coverage is incomplete</t>
  </si>
  <si>
    <t>Logistics + Sales</t>
  </si>
  <si>
    <t>Control / Execution</t>
  </si>
  <si>
    <t>DR-O2C-11</t>
  </si>
  <si>
    <t>Required gate/loading/vehicle/document checks pass and vehicle is authorized to exit.</t>
  </si>
  <si>
    <t>Missing proof stays in denominator and issue queue</t>
  </si>
  <si>
    <t>Business Central + current Collection/NOD source</t>
  </si>
  <si>
    <t>Gate / Logistics / Weighbridge</t>
  </si>
  <si>
    <t>POD completeness report</t>
  </si>
  <si>
    <t>Open AR, aging, NOD / commitment / recovery baseline</t>
  </si>
  <si>
    <t>Gate-out / release event</t>
  </si>
  <si>
    <t>customer; invoice/ledger entry; posting/due date; open amount; aging bucket; commitment/NOD/recovery action if authoritative source exists</t>
  </si>
  <si>
    <t>Customer ledger entry / collection action</t>
  </si>
  <si>
    <t>DQ-O2C-15</t>
  </si>
  <si>
    <t>Closed-case completeness</t>
  </si>
  <si>
    <t>Yes if digital</t>
  </si>
  <si>
    <t>Open AR reconciles to Finance control total before DSO/overdue publication</t>
  </si>
  <si>
    <t>Completeness / Definition</t>
  </si>
  <si>
    <t>Cases satisfying approved closure rule / cases classified closed</t>
  </si>
  <si>
    <t>Trip + vehicle</t>
  </si>
  <si>
    <t>Finance Controller</t>
  </si>
  <si>
    <t>100% of published closed cases meet approved rule</t>
  </si>
  <si>
    <t>AR ready; NOD source pending</t>
  </si>
  <si>
    <t>Case_ID; document chain; payment/return state; reconciliation status</t>
  </si>
  <si>
    <t>Finance owner signs off AR total; NOD metrics blocked until source-of-truth is reconciled</t>
  </si>
  <si>
    <t>GATE_EXCEPTION</t>
  </si>
  <si>
    <t>Blocks O2C end-to-end cycle E4 if closure rule is not deterministic and reproducible</t>
  </si>
  <si>
    <t>Gate dwell; dispatch on-time</t>
  </si>
  <si>
    <t>Process Owner + Finance + Product/Data</t>
  </si>
  <si>
    <t>NOD source-of-truth and linkage unresolved</t>
  </si>
  <si>
    <t>TBD - source-of-truth discovery first</t>
  </si>
  <si>
    <t>O2C_P1_11_AR_NOD_YYYYMMDD</t>
  </si>
  <si>
    <t>Closure rule must explicitly handle partial payment, returns/credits and approved exclusions</t>
  </si>
  <si>
    <t>Internal Finance SDD + current production source validation</t>
  </si>
  <si>
    <t>Paper register/manual gate process must remain visible if still used.</t>
  </si>
  <si>
    <t>Closed-case eligibility report</t>
  </si>
  <si>
    <t>DR-O2C-12</t>
  </si>
  <si>
    <t>Internal O2C KPI governance</t>
  </si>
  <si>
    <t>ACT-O2C-037</t>
  </si>
  <si>
    <t>Dispatch Started</t>
  </si>
  <si>
    <t>Sales return chain</t>
  </si>
  <si>
    <t>return request; source DN/invoice; item/qty/UOM; approval; receipt/inspection; disposition; inventory posting; credit memo; reason; timestamps</t>
  </si>
  <si>
    <t>Return line / event</t>
  </si>
  <si>
    <t>Returned quantity reconciles to source delivery and authoritative inventory/financial adjustment</t>
  </si>
  <si>
    <t>Trip changes to dispatched/in-transit with physical departure timestamp.</t>
  </si>
  <si>
    <t>Complete sampled return chains pass quantity and financial reconciliation</t>
  </si>
  <si>
    <t>Logistics App / gate source</t>
  </si>
  <si>
    <t>Production return-document mapping and line lineage</t>
  </si>
  <si>
    <t>O2C_P1_12_ReturnChain_YYYYMMDD</t>
  </si>
  <si>
    <t>Dispatch/in-transit status change</t>
  </si>
  <si>
    <t>Internal Sales/Logistics/Finance design + live BC mapping</t>
  </si>
  <si>
    <t>DR-O2C-13</t>
  </si>
  <si>
    <t>Cross-system Master Data</t>
  </si>
  <si>
    <t>Organization/Company, RC, Territory, Customer, Item and UOM crosswalk</t>
  </si>
  <si>
    <t>source IDs; canonical IDs; organization; effective-from/to; active flag; UOM conversion; source owner</t>
  </si>
  <si>
    <t>Master mapping row</t>
  </si>
  <si>
    <t>Trip + DOs</t>
  </si>
  <si>
    <t>Uniqueness, organization ownership, effective dates and UOM conversions validated</t>
  </si>
  <si>
    <t>Sales + Finance + Inventory</t>
  </si>
  <si>
    <t>DO→Dispatch Cycle; dispatch on-time</t>
  </si>
  <si>
    <t>≥99% mapping coverage for in-scope transactions before management KPI publication</t>
  </si>
  <si>
    <t>Approved cross-system identity mapping; historical code changes</t>
  </si>
  <si>
    <t>O2C_P0_13_MasterCrosswalk_YYYYMMDD</t>
  </si>
  <si>
    <t>Prefer physical departure/gate-out time over manual retrospective status update when both exist.</t>
  </si>
  <si>
    <t>Internal master-data design / Process Registry</t>
  </si>
  <si>
    <t>ACT-O2C-038</t>
  </si>
  <si>
    <t>DR-O2C-14</t>
  </si>
  <si>
    <t>Delivery Attempted</t>
  </si>
  <si>
    <t>Identity + Process Observation</t>
  </si>
  <si>
    <t>User/role mapping and human-touch observation</t>
  </si>
  <si>
    <t>source user ID; employee/user mapping; role/effective dates; service accounts; representative activity observations; active minutes; off-system steps</t>
  </si>
  <si>
    <t>O2C PILOT SBU SELECTION — EVIDENCE-GATED</t>
  </si>
  <si>
    <t>User-role row + observed task</t>
  </si>
  <si>
    <t>2-week representative study overlapping baseline period</t>
  </si>
  <si>
    <t>Shared/generic accounts isolated; observation sample covers core roles and exception paths</t>
  </si>
  <si>
    <t>Identity/Admin + Transformation</t>
  </si>
  <si>
    <t>Vehicle/driver reaches delivery point and a delivery attempt begins.</t>
  </si>
  <si>
    <t>Process Owners + Control Owner</t>
  </si>
  <si>
    <t>Logistics App / mobile</t>
  </si>
  <si>
    <t>≥95% events used in Human Touch/STP metrics have classified Execution_Type before E4 publication</t>
  </si>
  <si>
    <t>Arrival/delivery attempt event</t>
  </si>
  <si>
    <t>Pilot SBU/user cohort selection and privacy approval</t>
  </si>
  <si>
    <t>O2C_P1_14_IdentityHumanTouch_YYYYMMDD</t>
  </si>
  <si>
    <t>Optional in core model; yes if reliable</t>
  </si>
  <si>
    <t>Delivery Attempt</t>
  </si>
  <si>
    <t>Trip + DO/DN + attempt ID</t>
  </si>
  <si>
    <t>First-attempt delivery; delivery exception analysis</t>
  </si>
  <si>
    <t>If arrival/attempt is not reliably captured, keep it out of certified KPI calculations.</t>
  </si>
  <si>
    <t>ACT-O2C-039</t>
  </si>
  <si>
    <t>POD Captured</t>
  </si>
  <si>
    <t>Purpose: select the first production O2C calibration SBU using live source coverage and traceability—not ERP schedule completion alone.</t>
  </si>
  <si>
    <t>Required digital proof of delivery is captured with recipient/time/evidence.</t>
  </si>
  <si>
    <t>POD record</t>
  </si>
  <si>
    <t>POD / Delivery</t>
  </si>
  <si>
    <t>Decision rule: no SBU is selected until all seven mandatory live-evidence gates pass. Weighted scoring only ranks SBUs after the gates are satisfied.</t>
  </si>
  <si>
    <t>DO/DN + attempt/trip</t>
  </si>
  <si>
    <t>POD Capture Rate; delivery cycle</t>
  </si>
  <si>
    <t>Completeness criteria must be defined by SBU/channel.</t>
  </si>
  <si>
    <t>ACT-O2C-040</t>
  </si>
  <si>
    <t>Partial Delivery Confirmed</t>
  </si>
  <si>
    <t>Exception / Business</t>
  </si>
  <si>
    <t>Current evidence position: AOPL is the provisional first-to-check because it is the earliest Sales rollout in the ERP plan and has recent AOPL-specific production/hot-fix/SO-DO activity. This is NOT a pilot selection; end-to-end Sales Eco → BC → Logistics → Finance coverage remains unverified.</t>
  </si>
  <si>
    <t>Delivered quantity is less than eligible quantity and undelivered balance remains open with reason.</t>
  </si>
  <si>
    <t>Partial delivery confirmation</t>
  </si>
  <si>
    <t>Delivery / Shipment</t>
  </si>
  <si>
    <t>DO/DN + order line</t>
  </si>
  <si>
    <t>PARTIAL_DELIVERY</t>
  </si>
  <si>
    <t>Partial Fulfillment Rate; outstanding balance</t>
  </si>
  <si>
    <t>WEIGHTS →</t>
  </si>
  <si>
    <t>Separate planned split delivery from stock/logistics/customer-driven short delivery.</t>
  </si>
  <si>
    <t/>
  </si>
  <si>
    <t>ACT-O2C-041</t>
  </si>
  <si>
    <t>Full Delivery Confirmed</t>
  </si>
  <si>
    <t>Eligible delivery quantity is fully delivered and accepted for the delivery event.</t>
  </si>
  <si>
    <t>Delivery complete status</t>
  </si>
  <si>
    <t>OTIF; delivery→invoice cycle</t>
  </si>
  <si>
    <t>Do not treat status alone as POD completeness.</t>
  </si>
  <si>
    <t>ACT-O2C-042</t>
  </si>
  <si>
    <t>Delivery Exception Recorded</t>
  </si>
  <si>
    <t>Shortage, damage, rejection, failed delivery or other delivery exception is recorded with disposition/owner.</t>
  </si>
  <si>
    <t>Delivery exception record</t>
  </si>
  <si>
    <t>DO/DN + attempt ID</t>
  </si>
  <si>
    <t>DELIVERY_EXCEPTION</t>
  </si>
  <si>
    <t>Delivery Exception Rate; exception cycle</t>
  </si>
  <si>
    <t>Scoring scale: 0=no evidence / unusable; 1=very weak; 2=limited; 3=adequate; 4=strong; 5=complete and reconciled. Do not score from project-plan % completion.</t>
  </si>
  <si>
    <t>Use governed reason taxonomy; missing reason remains an exception.</t>
  </si>
  <si>
    <t>ACT-O2C-043</t>
  </si>
  <si>
    <t>Sales Shipment Posted</t>
  </si>
  <si>
    <t>Business / Posting</t>
  </si>
  <si>
    <t>Business Central posts the shipment/delivery record that establishes authoritative delivered quantity for invoicing.</t>
  </si>
  <si>
    <t>SBU</t>
  </si>
  <si>
    <t>salesShipment / posted shipment</t>
  </si>
  <si>
    <t>Existing Portfolio Signal</t>
  </si>
  <si>
    <t>Sales Shipment / DN</t>
  </si>
  <si>
    <t>Recent Operational Evidence Signal</t>
  </si>
  <si>
    <t>Sales Order number / shipment ID</t>
  </si>
  <si>
    <t>Gate 1: Sales Eco Production</t>
  </si>
  <si>
    <t>Gate 2: BC Transactions</t>
  </si>
  <si>
    <t>Gate 3: Logistics/POD</t>
  </si>
  <si>
    <t>Delivery→Invoice Cycle; chain reconciliation</t>
  </si>
  <si>
    <t>Gate 4: Cross-System Linkage</t>
  </si>
  <si>
    <t>Gate 5: 30-Day Completed Cases</t>
  </si>
  <si>
    <t>Standard BC resource; AGI DN semantics confirm</t>
  </si>
  <si>
    <t>Gate 6: Source Reconciliation</t>
  </si>
  <si>
    <t>Business Central salesShipment is a standard resource representing posted sales shipment. Reference: https://learn.microsoft.com/en-us/dynamics365/business-central/dev-itpro/api-reference/v2.0/resources/dynamics_salesshipment</t>
  </si>
  <si>
    <t>Gate 7: Named Business Owner</t>
  </si>
  <si>
    <t>ACT-O2C-044</t>
  </si>
  <si>
    <t>Mandatory Gate Result</t>
  </si>
  <si>
    <t>Invoice Posted</t>
  </si>
  <si>
    <t>Source Coverage 0-5</t>
  </si>
  <si>
    <t>Linkage 0-5</t>
  </si>
  <si>
    <t>Volume / Representativeness 0-5</t>
  </si>
  <si>
    <t>Logistics / POD 0-5</t>
  </si>
  <si>
    <t>Returns / Collection Richness 0-5</t>
  </si>
  <si>
    <t>Customer invoice is posted to AR/revenue/tax against eligible delivery/shipment.</t>
  </si>
  <si>
    <t>Master Data Quality 0-5</t>
  </si>
  <si>
    <t>Owner Accessibility 0-5</t>
  </si>
  <si>
    <t>salesInvoice / posted invoice</t>
  </si>
  <si>
    <t>Stability / Control 0-5</t>
  </si>
  <si>
    <t>Weighted Score /100</t>
  </si>
  <si>
    <t>Sales Invoice</t>
  </si>
  <si>
    <t>Current Selection Status</t>
  </si>
  <si>
    <t>Shipment/order/customer references</t>
  </si>
  <si>
    <t>Reason / Next Validation</t>
  </si>
  <si>
    <t>Evidence Reference</t>
  </si>
  <si>
    <t>Delivery→Invoice Cycle; Invoice Accuracy; chain reconciliation</t>
  </si>
  <si>
    <t>Standard BC resource</t>
  </si>
  <si>
    <t>AOPL</t>
  </si>
  <si>
    <t>Business Central salesInvoice is a standard API resource; production posting evidence is still required for E3. Reference: https://learn.microsoft.com/en-us/dynamics365/business-central/dev-itpro/api-reference/v2.0/resources/dynamics_salesinvoice</t>
  </si>
  <si>
    <t>ACT-O2C-045</t>
  </si>
  <si>
    <t>Earliest rollout signal: Sales Wave 1 / AOPL early-wave chronology; Sales &amp; Distribution and Logistics are marked complete in the legacy time-elapsed plan.</t>
  </si>
  <si>
    <t>Invoice Corrected or Reversed</t>
  </si>
  <si>
    <t>Strongest recent operational signal: AOPL SO/DO optimization work, AOPL production bank-sync tickets, AOPL bazaar hot-fix deployment, and refreshed AOPL master data.</t>
  </si>
  <si>
    <t>Exception / Posting</t>
  </si>
  <si>
    <t>Posted invoice requires cancellation, correction, reversal or credit due to error or approved adjustment.</t>
  </si>
  <si>
    <t>Invoice cancel/correct/reversal/credit event</t>
  </si>
  <si>
    <t>Sales Invoice / Credit Memo</t>
  </si>
  <si>
    <t>Original invoice + correction document</t>
  </si>
  <si>
    <t>INVOICE_EXCEPTION</t>
  </si>
  <si>
    <t>Invoice Accuracy; rework variants</t>
  </si>
  <si>
    <t>Standard action / posting evidence to confirm</t>
  </si>
  <si>
    <t>BC salesInvoice resource supports cancel action; exact correction process must follow AGI configuration/policy.</t>
  </si>
  <si>
    <t>ACT-O2C-046</t>
  </si>
  <si>
    <t>Money Receipt Recorded</t>
  </si>
  <si>
    <t>Customer receipt/MR is created with customer, amount and bank/cash reference.</t>
  </si>
  <si>
    <t>Sales Eco MR / Business Central</t>
  </si>
  <si>
    <t>MR/receipt creation</t>
  </si>
  <si>
    <t>Money Receipt / Payment</t>
  </si>
  <si>
    <t>Customer + MR/payment reference</t>
  </si>
  <si>
    <t>Digital Receipt Rate; human touches</t>
  </si>
  <si>
    <t>Separate Sales Eco MR event from authoritative BC posting if two-step integration exists.</t>
  </si>
  <si>
    <t>ACT-O2C-047</t>
  </si>
  <si>
    <t>Customer Payment Posted</t>
  </si>
  <si>
    <t>Authoritative customer payment/receipt is posted to Business Central customer/bank ledger.</t>
  </si>
  <si>
    <t>customerPayment / posted customer ledger</t>
  </si>
  <si>
    <t>Customer Payment</t>
  </si>
  <si>
    <t>MR/external reference + customer</t>
  </si>
  <si>
    <t>Digital Receipt Rate; chain reconciliation</t>
  </si>
  <si>
    <t>Standard BC resource / AGI MR linkage TBD</t>
  </si>
  <si>
    <t>Use authoritative posting event, not merely a draft/import record.</t>
  </si>
  <si>
    <t>ACT-O2C-048</t>
  </si>
  <si>
    <t>Payment Applied</t>
  </si>
  <si>
    <t>Business / Reconciliation</t>
  </si>
  <si>
    <t>Customer payment is applied to one or more open invoice/customer entries.</t>
  </si>
  <si>
    <t>Payment application / customer ledger application</t>
  </si>
  <si>
    <t>Customer Payment / Invoice</t>
  </si>
  <si>
    <t>Payment + invoice/application entry</t>
  </si>
  <si>
    <t>Payment Auto-Application; O2C Cycle Time</t>
  </si>
  <si>
    <t>Execution_Type must reflect whether application was truly automatic or manually posted.</t>
  </si>
  <si>
    <t>ACT-O2C-049</t>
  </si>
  <si>
    <t>Payment Application Exception Recorded</t>
  </si>
  <si>
    <t>Exception / Reconciliation</t>
  </si>
  <si>
    <t>Payment cannot be confidently applied because of mismatch, missing reference, residual or other exception.</t>
  </si>
  <si>
    <t>Business Central / reconciliation process</t>
  </si>
  <si>
    <t>O2C PILOT EVIDENCE INTAKE / GATE TRACKER</t>
  </si>
  <si>
    <t>Unapplied/payment exception</t>
  </si>
  <si>
    <t>Payment + customer/open entries</t>
  </si>
  <si>
    <t>PAYMENT_EXCEPTION</t>
  </si>
  <si>
    <t>Payment auto-application; human touches; unapplied cash</t>
  </si>
  <si>
    <t>Operational evidence intake for the seven mandatory pilot-selection gates. Evidence is recorded here; pilot eligibility remains controlled by the O2C Pilot SBU Selection tab.</t>
  </si>
  <si>
    <t>Do not infer a payment→invoice relationship when source system leaves it unapplied.</t>
  </si>
  <si>
    <t>ACT-O2C-050</t>
  </si>
  <si>
    <t>Overdue Collection Action Triggered</t>
  </si>
  <si>
    <t>AOPL P0 O2C EVIDENCE DISPATCH PACK</t>
  </si>
  <si>
    <t>Control / Collection</t>
  </si>
  <si>
    <t>Invoice/customer exposure reaches a governed overdue/reminder/recovery threshold and an action is created.</t>
  </si>
  <si>
    <t>Business Central / Collection-NOD layer</t>
  </si>
  <si>
    <t>Reminder/NOD/recovery action</t>
  </si>
  <si>
    <t>Optional core / Yes for collection-focused variant</t>
  </si>
  <si>
    <t>Optional</t>
  </si>
  <si>
    <t>Invoice / Collection Action</t>
  </si>
  <si>
    <t>Provisional first-to-check — NOT selected</t>
  </si>
  <si>
    <t>Invoice/customer ledger + action ID</t>
  </si>
  <si>
    <t>Issue P0 requests DR-O2C-01/02/03/04/07/09/10 first. Verify a complete CO→SO→DO→DN/Shipment→Invoice→MR/payment chain and source totals before scoring.</t>
  </si>
  <si>
    <t>ERP plan: AOPL early wave. Recent email/Jira signals: BSES-3057; BSES-2906/2907; BSES-2841; AOPL master-data updates (Sep 2026).</t>
  </si>
  <si>
    <t>COLLECTION</t>
  </si>
  <si>
    <t>DSO; overdue ratio; recovery analysis</t>
  </si>
  <si>
    <t>AGL</t>
  </si>
  <si>
    <t>Source not yet operationally verified</t>
  </si>
  <si>
    <t>P0 Requests</t>
  </si>
  <si>
    <t>Second early-wave rollout; Sales &amp; Distribution marked complete in legacy plan, but logistics rollout signal is later/weaker than AOPL in that plan.</t>
  </si>
  <si>
    <t>Keep collection-management layer separate until authoritative NOD/recovery source is confirmed.</t>
  </si>
  <si>
    <t>Operational enablement evidence exists through Sales Eco training, org-wise data, and UOM-conversion work; fewer direct end-to-end production O2C signals were found than AOPL.</t>
  </si>
  <si>
    <t>ACT-O2C-051</t>
  </si>
  <si>
    <t>Received or Validated</t>
  </si>
  <si>
    <t>Sales Return Requested</t>
  </si>
  <si>
    <t>Purpose: operationalize the first-to-check AOPL evidence request without prematurely selecting AOPL as the production pilot.</t>
  </si>
  <si>
    <t>Validated</t>
  </si>
  <si>
    <t>Selection Status</t>
  </si>
  <si>
    <t>Return request is created against valid source delivery/invoice with quantity and reason.</t>
  </si>
  <si>
    <t>Current Next Validation</t>
  </si>
  <si>
    <t>Return request/order create</t>
  </si>
  <si>
    <t>Control rule: a request is complete only when the extract is received, reconciled to the authoritative source, and accepted by the named business validator. Email/Jira/design evidence alone cannot pass a mandatory gate.</t>
  </si>
  <si>
    <t>Source DN/invoice + customer + item</t>
  </si>
  <si>
    <t>RETURN</t>
  </si>
  <si>
    <t>Sales Return Rate; return cycle</t>
  </si>
  <si>
    <t>Scope: seven P0 packs covering Sales Eco → integration telemetry → Business Central → Logistics/POD → receipt/payment application. Use the latest complete 30-day window; extend to 60 days only if completed-case volume is too low.</t>
  </si>
  <si>
    <t>Source DN/invoice ownership and quantity validation are required.</t>
  </si>
  <si>
    <t>ACT-O2C-052</t>
  </si>
  <si>
    <t>Sales Return Approved</t>
  </si>
  <si>
    <t>Technical principle: preserve governed identifiers and timestamps exactly as stored. Do not fuzzy-match certified end-to-end lineage; unresolved records must remain in an orphan queue.</t>
  </si>
  <si>
    <t>Authorized return request is approved for receipt/inspection and adjustment.</t>
  </si>
  <si>
    <t>Return approval decision</t>
  </si>
  <si>
    <t>Request status as of 2026-09-15: Ready to issue. Recipient names should be resolved by role before sending.</t>
  </si>
  <si>
    <t>Return request / approval entry</t>
  </si>
  <si>
    <t>Candidate — evidence not sufficient</t>
  </si>
  <si>
    <t>Confirm live BC O2C volume, logistics/POD coverage and cross-system parent references. If AOPL fails a mandatory gate, AGL becomes the next early-wave candidate.</t>
  </si>
  <si>
    <t>Return cycle; approval human touches</t>
  </si>
  <si>
    <t>ERP plan: second early wave. Recent email signals: BMD Sales Eco training; AGL UOM-conversion discussion; organization-wise data activity (Sep 2026).</t>
  </si>
  <si>
    <t>ACL</t>
  </si>
  <si>
    <t>Reject/send-back variants should map separately if source volume justifies.</t>
  </si>
  <si>
    <t>Mid-wave ERP rollout; later UAT/deployment/go-live chronology than AOPL/AGL.</t>
  </si>
  <si>
    <t>ACT-O2C-053</t>
  </si>
  <si>
    <t>Active master-data correction and logistics freight-rate configuration evidence exists; this is useful operational evidence but does not yet prove an E2E digital O2C chain.</t>
  </si>
  <si>
    <t>Return Receipt Posted</t>
  </si>
  <si>
    <t>Mandatory Gate</t>
  </si>
  <si>
    <t>Recipient Role</t>
  </si>
  <si>
    <t>Request Objective</t>
  </si>
  <si>
    <t>Returned goods are physically received/inspected and inventory effect is posted according to disposition.</t>
  </si>
  <si>
    <t>Return receipt / inventory posting</t>
  </si>
  <si>
    <t>Required Scope</t>
  </si>
  <si>
    <t>Sales Return / Return Receipt</t>
  </si>
  <si>
    <t>Reconciliation Control</t>
  </si>
  <si>
    <t>Return request/order + item/lot</t>
  </si>
  <si>
    <t>Preferred Format</t>
  </si>
  <si>
    <t>Return-to-adjustment cycle; inventory reconciliation</t>
  </si>
  <si>
    <t>Expected File Naming</t>
  </si>
  <si>
    <t>Issue Status</t>
  </si>
  <si>
    <t>Inspection/disposition may add intermediate activities later if production evidence requires them.</t>
  </si>
  <si>
    <t>Issued Date</t>
  </si>
  <si>
    <t>ACT-O2C-054</t>
  </si>
  <si>
    <t>Target Response</t>
  </si>
  <si>
    <t>Credit Memo or Financial Adjustment Posted</t>
  </si>
  <si>
    <t>Blocker / Dependency</t>
  </si>
  <si>
    <t>Source / Reference</t>
  </si>
  <si>
    <t>Approved return/adjustment results in authoritative customer financial adjustment/credit.</t>
  </si>
  <si>
    <t>Gate 1 — Sales Eco Production</t>
  </si>
  <si>
    <t>Sales credit memo / customer ledger adjustment</t>
  </si>
  <si>
    <t>AOPL Sales Process Owner</t>
  </si>
  <si>
    <t>Prove live AOPL Customer Order execution and lifecycle history.</t>
  </si>
  <si>
    <t>Credit Memo / Adjustment</t>
  </si>
  <si>
    <t>Customer Order header, line and lifecycle events</t>
  </si>
  <si>
    <t>Return/source invoice + customer</t>
  </si>
  <si>
    <t>All in-scope AOPL digital COs created or active during the baseline period, including cancelled/rejected/resubmitted cases.</t>
  </si>
  <si>
    <t>Return-to-adjustment cycle; document-chain reconciliation</t>
  </si>
  <si>
    <t>CO ID/No.; organization; customer; RC; item; quantity; UOM; create/submit/approve/reject/resubmit/cancel events; actor; timestamp; downstream reference</t>
  </si>
  <si>
    <t>Latest complete 30 days; extend to 60 days only if low volume</t>
  </si>
  <si>
    <t>Daily CO count by status and organization must reconcile to Sales Eco production totals.</t>
  </si>
  <si>
    <t>Must reconcile to the approved return/adjustment quantity and amount.</t>
  </si>
  <si>
    <t>ACT-O2C-055</t>
  </si>
  <si>
    <t>≥98% lifecycle events have CO ID and timestamp; ≥95% eligible digital COs have downstream link or documented exclusion.</t>
  </si>
  <si>
    <t>Document Chain Reconciliation Failed</t>
  </si>
  <si>
    <t>CSV/XLSX; one event row per lifecycle event plus order-line extract</t>
  </si>
  <si>
    <t>AOPL_O2C_P0_01_SalesEco_CO_YYYYMMDD</t>
  </si>
  <si>
    <t>Validate Sales Eco production coverage and determine whether BC/logistics integration produces enough completed 30-day cases for calibration.</t>
  </si>
  <si>
    <t>ERP plan: mid-wave. Recent email signals: corporate master-data correction; ACL freight-rate/software update (Sep 2026).</t>
  </si>
  <si>
    <t>ACSL</t>
  </si>
  <si>
    <t>Expected cross-document references, quantities, amounts or statuses do not reconcile for an eligible chain.</t>
  </si>
  <si>
    <t>Late-wave ERP rollout in the legacy plan.</t>
  </si>
  <si>
    <t>Fabric / reconciliation service</t>
  </si>
  <si>
    <t>Reconciliation exception</t>
  </si>
  <si>
    <t>Sales Eco production evidence exists for User Order rejection reasons and incentive/disbursement processes, but the full primary O2C/BC/logistics chain is not evidenced.</t>
  </si>
  <si>
    <t>O2C Chain</t>
  </si>
  <si>
    <t>Ready to issue</t>
  </si>
  <si>
    <t>Case_ID + document bridge</t>
  </si>
  <si>
    <t>2 business days from issue</t>
  </si>
  <si>
    <t>RECONCILIATION</t>
  </si>
  <si>
    <t>Production DB/API/audit access; confirm status-history retention</t>
  </si>
  <si>
    <t>Document-Chain Reconciliation Rate; exception aging</t>
  </si>
  <si>
    <t>Internal Sales Eco production schema + https://learn.microsoft.com/en-us/power-automate/process-mining-processes-and-data</t>
  </si>
  <si>
    <t>Future derived event</t>
  </si>
  <si>
    <t>Do not exclude unreconciled chains from denominator; surface owner and age.</t>
  </si>
  <si>
    <t>Gate 4 — Cross-System Linkage</t>
  </si>
  <si>
    <t>ACT-O2C-056</t>
  </si>
  <si>
    <t>O2C Case Reconciled and Closed</t>
  </si>
  <si>
    <t>Prove that Sales Eco requests can be correlated to BC requests/results and retries.</t>
  </si>
  <si>
    <t>Derived Business Outcome</t>
  </si>
  <si>
    <t>All AOPL O2C integration attempts for in-scope CO/SO cases during the baseline period.</t>
  </si>
  <si>
    <t>All required documents, quantity/amount balances and payment/return conditions for the case satisfy the approved closure rule.</t>
  </si>
  <si>
    <t>Derived case-close event</t>
  </si>
  <si>
    <t>Source requests reconcile to BC calls and resulting business records; retries collapse to one logical request where appropriate.</t>
  </si>
  <si>
    <t>O2C Case</t>
  </si>
  <si>
    <t>No unexplained request/result gap above 2%; correlation coverage suitable for sampled end-to-end chains.</t>
  </si>
  <si>
    <t>CSV/XLSX or Application Insights export</t>
  </si>
  <si>
    <t>AOPL_O2C_P0_02_IntegrationTelemetry_YYYYMMDD</t>
  </si>
  <si>
    <t>O2C End-to-End Cycle Time; reconciliation rate</t>
  </si>
  <si>
    <t>Closure rule must handle partial payment, return/credit and approved exclusions explicitly.</t>
  </si>
  <si>
    <t>ACT-O2C-057</t>
  </si>
  <si>
    <t>Application Insights/telemetry access; client-request-id propagation where configured</t>
  </si>
  <si>
    <t>Order Cancelled</t>
  </si>
  <si>
    <t>Terminal / Exception</t>
  </si>
  <si>
    <t>Customer Order or Sales Order is cancelled before fulfilment according to allowed policy.</t>
  </si>
  <si>
    <t>Cancellation/status event</t>
  </si>
  <si>
    <t>CO/SO ID</t>
  </si>
  <si>
    <t>Treat existing app production activity as a positive signal, but verify primary-sales document chain, BC financial postings and logistics/POD before ranking.</t>
  </si>
  <si>
    <t>Yes for cancelled branch</t>
  </si>
  <si>
    <t>ORDER_CANCEL</t>
  </si>
  <si>
    <t>ERP plan: late wave. Recent email signals: existing Production User Order rejection reasons; ACSL sales-head approved rejection categories; disbursement data (Sep 2026).</t>
  </si>
  <si>
    <t>Order abandonment; variants; denominator governance</t>
  </si>
  <si>
    <t>AIL</t>
  </si>
  <si>
    <t>Final ERP rollout wave before closure; Sales &amp; Distribution design/configuration is shown in plan but broader dependent modules are later.</t>
  </si>
  <si>
    <t>Cancelled cases should remain in process-variant analysis even when excluded from completed-order KPIs.</t>
  </si>
  <si>
    <t>Recent evidence is stronger for common Sales Eco training and adjacent program activity than for a completed AIL-specific O2C production chain.</t>
  </si>
  <si>
    <t>ACT-O2C-058</t>
  </si>
  <si>
    <t>Integration Request Failed</t>
  </si>
  <si>
    <t>Cross-step diagnostic</t>
  </si>
  <si>
    <t>Integration Diagnostics</t>
  </si>
  <si>
    <t>Technical Exception</t>
  </si>
  <si>
    <t>An in-scope integration request fails due to HTTP/transport/application error before the expected business result.</t>
  </si>
  <si>
    <t>Integration telemetry / Business Central telemetry</t>
  </si>
  <si>
    <t>HTTP/API failure event</t>
  </si>
  <si>
    <t>No - diagnostic layer by default</t>
  </si>
  <si>
    <t>Any in-scope integrated document</t>
  </si>
  <si>
    <t>Correlation_ID + source business record</t>
  </si>
  <si>
    <t>INTEGRATION_FAILURE</t>
  </si>
  <si>
    <t>Integration reliability; root cause; delayed-case variants</t>
  </si>
  <si>
    <t>Telemetry availability TBD</t>
  </si>
  <si>
    <t>Keep technical retries out of business-touch counts; BC telemetry can support API failure diagnostics when configured. Confirm AGI caller correlation IDs.</t>
  </si>
  <si>
    <t>ACT-O2C-059</t>
  </si>
  <si>
    <t>Integration Retry Succeeded</t>
  </si>
  <si>
    <t>Technical Recovery</t>
  </si>
  <si>
    <t>A previously failed logical integration request succeeds on a retry.</t>
  </si>
  <si>
    <t>Successful retry / final API response</t>
  </si>
  <si>
    <t>Correlation_ID + original logical request</t>
  </si>
  <si>
    <t>INTEGRATION_RECOVERY</t>
  </si>
  <si>
    <t>Gate 2 — BC Transactions</t>
  </si>
  <si>
    <t>Retry rate; integration latency; root cause</t>
  </si>
  <si>
    <t>AOPL Sales + Finance</t>
  </si>
  <si>
    <t>Do not choose from design/configuration completion. Verify live transaction volume and dependent logistics/finance coverage first.</t>
  </si>
  <si>
    <t>Prove AOPL sales orders exist in BC and preserve source linkage and commercial context.</t>
  </si>
  <si>
    <t>Multiple technical attempts should not be counted as multiple human/business touches.</t>
  </si>
  <si>
    <t>ERP plan: final wave. Recent common BMD training and AIL-adjacent data activity exist, but no verified AIL E2E O2C evidence yet.</t>
  </si>
  <si>
    <t>Business Central Sales Orders and lines</t>
  </si>
  <si>
    <t>All AOPL in-scope SOs linked to baseline-period digital orders plus active/open carry-over cases needed for closure.</t>
  </si>
  <si>
    <t>id/GUID; number; externalDocumentNumber/source reference; customer; order/posting dates; status; line ID/line no.; item; quantity; UOM; location; deployed RC/source fields</t>
  </si>
  <si>
    <t>MANDATORY GATE DEFINITIONS</t>
  </si>
  <si>
    <t>SO counts and sample records reconcile to authoritative BC UI/control totals.</t>
  </si>
  <si>
    <t>All eligible SOs extracted; CO/external linkage coverage quantified; custom fields confirmed from deployed extension rather than assumed.</t>
  </si>
  <si>
    <t>CSV/XLSX/API export</t>
  </si>
  <si>
    <t>AOPL_O2C_P0_03_BC_SalesOrders_YYYYMMDD</t>
  </si>
  <si>
    <t>Gate</t>
  </si>
  <si>
    <t>BC API/data access; exact custom-extension schema</t>
  </si>
  <si>
    <t>Pass Condition</t>
  </si>
  <si>
    <t>Why It Matters</t>
  </si>
  <si>
    <t>1. Sales Eco Production</t>
  </si>
  <si>
    <t>In-scope production CO/order lifecycle events are extractable for the baseline period.</t>
  </si>
  <si>
    <t>Prevents selecting a design-only or training-only SBU.</t>
  </si>
  <si>
    <t>2. BC Transactions</t>
  </si>
  <si>
    <t>Linked BC SO + posted shipment/invoice + payment/application evidence is extractable.</t>
  </si>
  <si>
    <t>BC is the financial authority; O2C cannot be calibrated on front-office activity alone.</t>
  </si>
  <si>
    <t>3. Logistics/POD</t>
  </si>
  <si>
    <t>DO/trip/dispatch/POD or explicit terminal exception evidence is available for meaningful sample coverage.</t>
  </si>
  <si>
    <t>Needed for real fulfillment cycle, exception and adoption measurement.</t>
  </si>
  <si>
    <t>4. Cross-System Linkage</t>
  </si>
  <si>
    <t>Governed identifiers reconstruct cases across systems without fuzzy matching.</t>
  </si>
  <si>
    <t>Required for trustworthy end-to-end lineage.</t>
  </si>
  <si>
    <t>5. 30-Day Completed Cases</t>
  </si>
  <si>
    <t>Enough completed cases exist in a latest complete 30-day window to calculate stable pilot KPIs; extend to 60 days only if volume is low.</t>
  </si>
  <si>
    <t>Avoids a pilot that is technically connected but statistically unusable.</t>
  </si>
  <si>
    <t>6. Source Reconciliation</t>
  </si>
  <si>
    <t>Counts/quantities/amounts reconcile to authoritative source totals, with all differences explained.</t>
  </si>
  <si>
    <t>Prevents misleading E4 metrics.</t>
  </si>
  <si>
    <t>7. Named Business Owner</t>
  </si>
  <si>
    <t>AOPL Finance + Sales</t>
  </si>
  <si>
    <t>Named Sales/business validator accepts scope, exclusions and baseline interpretation.</t>
  </si>
  <si>
    <t>Prove shipment/DN and invoice posting for the AOPL O2C chain.</t>
  </si>
  <si>
    <t>No evidence promotion without accountable business ownership.</t>
  </si>
  <si>
    <t>All posted AOPL shipments and invoices linked to in-scope SOs, including partial fulfilment and split documents.</t>
  </si>
  <si>
    <t>Baseline window + sufficient lag for linked cases to close</t>
  </si>
  <si>
    <t>Shipment/invoice counts, quantities and amounts reconcile to BC control totals.</t>
  </si>
  <si>
    <t>≥95% sampled completed cases reconstruct without manual guesswork; all unmatched/partial cases retained.</t>
  </si>
  <si>
    <t>AOPL_O2C_P0_04_BC_ShipmentInvoice_YYYYMMDD</t>
  </si>
  <si>
    <t>Confirm AGI DN semantics and any custom DO/DN mapping</t>
  </si>
  <si>
    <t>https://learn.microsoft.com/en-us/dynamics365/business-central/dev-itpro/api-reference/v2.0/resources/dynamics_salesshipment ; https://learn.microsoft.com/en-us/dynamics365/business-central/dev-itpro/api-reference/v2.0/resources/dynamics_salesinvoice</t>
  </si>
  <si>
    <t>Gate 3 — Logistics/POD</t>
  </si>
  <si>
    <t>AOPL Logistics Process Owner</t>
  </si>
  <si>
    <t>Prove DO creation, allocation, trip planning and assignment for AOPL orders.</t>
  </si>
  <si>
    <t>All AOPL DO/trip records linked to baseline-period in-scope SOs, including partial allocation and outstanding balance.</t>
  </si>
  <si>
    <t>DO quantity reconciles to SO authorized/outstanding quantity; parent SO reference coverage reported.</t>
  </si>
  <si>
    <t>Parent SO present for ≥98% eligible DOs; no DO exceeds authorized outstanding quantity without approved exception.</t>
  </si>
  <si>
    <t>AOPL_O2C_P0_07_Logistics_DOTrip_YYYYMMDD</t>
  </si>
  <si>
    <t>Production logistics access; DO↔BC mapping confirmation</t>
  </si>
  <si>
    <t>Internal Logistics PRD/SDD + deployed production schema</t>
  </si>
  <si>
    <t>Logistics / Mobile</t>
  </si>
  <si>
    <t>AOPL Sales + Logistics</t>
  </si>
  <si>
    <t>Prove terminal delivery outcome and exception evidence for AOPL.</t>
  </si>
  <si>
    <t>All completed/attempted AOPL deliveries for the in-scope population, including shortage, damage, rejection and partial delivery.</t>
  </si>
  <si>
    <t>trip/DO/DN; delivery attempt; delivered qty; recipient; POD/evidence reference; timestamp; exception reason; follow-up/terminal state</t>
  </si>
  <si>
    <t>Rule: do not promote a gate from TBD to Pass from email/Jira/design evidence alone. A Pass requires the relevant live extract plus source reconciliation and business validation.</t>
  </si>
  <si>
    <t>Completed delivery population reconciles to POD or explicit terminal exception.</t>
  </si>
  <si>
    <t>Every completed in-scope digital delivery has terminal POD or exception state; missing proof remains in denominator.</t>
  </si>
  <si>
    <t>CSV/XLSX plus attachment/evidence metadata</t>
  </si>
  <si>
    <t>AOPL_O2C_P0_09_PODExceptions_YYYYMMDD</t>
  </si>
  <si>
    <t>Intake ID</t>
  </si>
  <si>
    <t>POD production adoption and evidence/attachment retention</t>
  </si>
  <si>
    <t>AOPL Finance / Collection</t>
  </si>
  <si>
    <t>Prove receipt posting and invoice application for the AOPL O2C chain.</t>
  </si>
  <si>
    <t>Sales Eco Money Receipt + BC customer payment/application</t>
  </si>
  <si>
    <t>All AOPL digital MR/receipt records and linked BC customer payments for the baseline population, including partial/unapplied/reversed items.</t>
  </si>
  <si>
    <t>Baseline window + sufficient payment lag to close eligible cases</t>
  </si>
  <si>
    <t>Receipt counts/amounts reconcile to BC; unapplied and partial balances are explicit.</t>
  </si>
  <si>
    <t>Request Date</t>
  </si>
  <si>
    <t>Extract Coverage Window</t>
  </si>
  <si>
    <t>Raw Row Count</t>
  </si>
  <si>
    <t>AOPL_O2C_P0_10_MRPaymentApplication_YYYYMMDD</t>
  </si>
  <si>
    <t>Case / Link Coverage %</t>
  </si>
  <si>
    <t>Source Reconciliation</t>
  </si>
  <si>
    <t>Evidence Link / File</t>
  </si>
  <si>
    <t>Blocker / Notes</t>
  </si>
  <si>
    <t>Gate Impact</t>
  </si>
  <si>
    <t>O2C CASE BRIDGE TEMPLATE — CROSS-SYSTEM LINEAGE &amp; RECONCILIATION</t>
  </si>
  <si>
    <t>Purpose: reconstruct production O2C cases across Sales Eco, Business Central, Logistics and Finance using governed identifiers so each completed case can support E3/E4 evidence, KPI calculation and root-cause analysis.</t>
  </si>
  <si>
    <t>Grain rule: one row represents one case + item/document-line path. Repeated Case_ID values are expected for split deliveries, partial invoices, returns or multiple payments; do not collapse these into one row before reconciliation.</t>
  </si>
  <si>
    <t>COMMON DISPATCH INSTRUCTION — INCLUDE WITH EACH REQUEST</t>
  </si>
  <si>
    <t>Certified lineage rule: use explicit source IDs, parent document references, externalDocumentNumber/custom source fields, orderNumber and appliesToInvoiceId/Number. Do not certify fuzzy matches based only on customer/date/amount; unresolved records remain Orphan until manually governed.</t>
  </si>
  <si>
    <t>1. Extract production data only; identify the exact environment/company used. 2. Preserve original IDs, timestamps and timezone/offset. 3. Do not remove failed/rejected/retried/partial cases. 4. Provide source control totals for counts and, where relevant, quantity/amount. 5. Include the extraction query/API/filter logic or reproducible steps. 6. State any fields that do not exist in production. 7. Do not manufacture surrogate lineage by customer/date/amount matching. 8. If personal data is not needed for the control objective, minimize it before handoff.</t>
  </si>
  <si>
    <t>Rows Loaded</t>
  </si>
  <si>
    <t>Microsoft validation: process mining requires Case ID, Activity and Start Timestamp; event/resource attributes can extend analysis. Business Central standard APIs expose Sales Orders, Sales Shipments, Sales Invoices and Customer Payments, but AGI-specific RC/DO/source fields must be confirmed from deployed extensions.</t>
  </si>
  <si>
    <t>Web references: https://learn.microsoft.com/en-us/power-automate/process-mining-processes-and-data | https://learn.microsoft.com/en-us/dynamics365/business-central/dev-itpro/api-reference/v2.0/ | https://learn.microsoft.com/en-us/dynamics365/business-central/dev-itpro/webservices/web-service-telemetry</t>
  </si>
  <si>
    <t>Complete Links</t>
  </si>
  <si>
    <t>Orphans</t>
  </si>
  <si>
    <t>Reconciled</t>
  </si>
  <si>
    <t>Link Coverage</t>
  </si>
  <si>
    <t>First AOPL P0 evidence request; validate live production coverage.</t>
  </si>
  <si>
    <t>Reconciliation Coverage</t>
  </si>
  <si>
    <t>Validation basis: Power Automate Process Mining requires Case ID, Activity and Start Timestamp. BC standard API v2.0 exposes salesOrder, salesShipment, salesInvoice and customerPayment resources; AGI-specific RC, DO/DN and source-reference fields must be confirmed from deployed extensions and production schemas.</t>
  </si>
  <si>
    <t>Preferred linkage order: CO source ID → BC SO explicit source/external reference → DO parent SO → Shipment/DN parent/order reference → Invoice parent/order reference → Customer Payment appliesToInvoiceId/Number. Retain every unmatched child in the orphan queue with reason.</t>
  </si>
  <si>
    <t>Customer_No</t>
  </si>
  <si>
    <t>CO_ID</t>
  </si>
  <si>
    <t>CO_No</t>
  </si>
  <si>
    <t>CO_Created_At</t>
  </si>
  <si>
    <t>BC_SO_ID</t>
  </si>
  <si>
    <t>SO_No</t>
  </si>
  <si>
    <t>SO_Created_At</t>
  </si>
  <si>
    <t>DO_ID</t>
  </si>
  <si>
    <t>DO_No</t>
  </si>
  <si>
    <t>Trip_ID</t>
  </si>
  <si>
    <t>Dispatch_At</t>
  </si>
  <si>
    <t>Shipment_ID</t>
  </si>
  <si>
    <t>Shipment_No_DN</t>
  </si>
  <si>
    <t>Shipment_Posted_At</t>
  </si>
  <si>
    <t>Invoice_ID</t>
  </si>
  <si>
    <t>Invoice_No</t>
  </si>
  <si>
    <t>Invoice_Posted_At</t>
  </si>
  <si>
    <t>MR_ID</t>
  </si>
  <si>
    <t>MR_No</t>
  </si>
  <si>
    <t>Payment_ID</t>
  </si>
  <si>
    <t>Payment_No</t>
  </si>
  <si>
    <t>Payment_Posted_At</t>
  </si>
  <si>
    <t>Quantity_Ordered</t>
  </si>
  <si>
    <t>Quantity_Delivered</t>
  </si>
  <si>
    <t>Quantity_Invoiced</t>
  </si>
  <si>
    <t>Quantity_Returned</t>
  </si>
  <si>
    <t>Amount_Invoiced</t>
  </si>
  <si>
    <t>Amount_Paid</t>
  </si>
  <si>
    <t>Parent_Link_Method</t>
  </si>
  <si>
    <t>Linkage_Status</t>
  </si>
  <si>
    <t>Reconciliation_Status</t>
  </si>
  <si>
    <t>Orphan_Reason</t>
  </si>
  <si>
    <t>Evidence_Link</t>
  </si>
  <si>
    <t>Queued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</si>
</sst>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yyyy-mm-dd"/>
    <numFmt numFmtId="166" formatCode="yyyy-mm-dd hh:mm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b/>
      <sz val="20.0"/>
      <color rgb="FFFFFFFF"/>
      <name val="Arial"/>
      <scheme val="minor"/>
    </font>
    <font>
      <sz val="11.0"/>
      <color rgb="FFDDE5F1"/>
      <name val="Arial"/>
      <scheme val="minor"/>
    </font>
    <font>
      <b/>
      <sz val="10.0"/>
      <color rgb="FFA60C2B"/>
      <name val="Arial"/>
      <scheme val="minor"/>
    </font>
    <font>
      <b/>
      <sz val="9.0"/>
      <color rgb="FF465B78"/>
      <name val="Arial"/>
      <scheme val="minor"/>
    </font>
    <font/>
    <font>
      <b/>
      <sz val="11.0"/>
      <color rgb="FFFFFFFF"/>
      <name val="Arial"/>
      <scheme val="minor"/>
    </font>
    <font>
      <b/>
      <sz val="10.0"/>
      <color rgb="FF142D4F"/>
      <name val="Arial"/>
      <scheme val="minor"/>
    </font>
    <font>
      <u/>
      <color rgb="FF0000FF"/>
    </font>
    <font>
      <b/>
      <sz val="9.0"/>
      <color rgb="FF142D4F"/>
      <name val="Arial"/>
      <scheme val="minor"/>
    </font>
    <font>
      <sz val="9.0"/>
      <color theme="1"/>
      <name val="Arial"/>
      <scheme val="minor"/>
    </font>
    <font>
      <b/>
      <sz val="10.0"/>
      <color rgb="FFCC0A2E"/>
      <name val="Arial"/>
      <scheme val="minor"/>
    </font>
    <font>
      <sz val="9.0"/>
      <color rgb="FF1E2A3F"/>
      <name val="Arial"/>
      <scheme val="minor"/>
    </font>
    <font>
      <b/>
      <color rgb="FF9E6004"/>
      <name val="Arial"/>
      <scheme val="minor"/>
    </font>
    <font>
      <u/>
      <color rgb="FF0000FF"/>
    </font>
    <font>
      <color rgb="FF8C4700"/>
      <name val="Arial"/>
      <scheme val="minor"/>
    </font>
    <font>
      <b/>
      <sz val="18.0"/>
      <color rgb="FFFFFFFF"/>
      <name val="Arial"/>
      <scheme val="minor"/>
    </font>
    <font>
      <b/>
      <color rgb="FF1E2A3F"/>
      <name val="Arial"/>
      <scheme val="minor"/>
    </font>
    <font>
      <b/>
      <color theme="1"/>
      <name val="Arial"/>
      <scheme val="minor"/>
    </font>
    <font>
      <b/>
      <sz val="9.0"/>
      <color rgb="FFFFFFFF"/>
      <name val="Arial"/>
      <scheme val="minor"/>
    </font>
    <font>
      <sz val="10.0"/>
      <color rgb="FF1E2A3F"/>
      <name val="Arial"/>
      <scheme val="minor"/>
    </font>
    <font>
      <b/>
      <sz val="14.0"/>
      <color rgb="FFFFFFFF"/>
      <name val="Arial"/>
      <scheme val="minor"/>
    </font>
    <font>
      <color rgb="FF283347"/>
      <name val="Arial"/>
      <scheme val="minor"/>
    </font>
    <font>
      <b/>
      <color rgb="FF9E5F04"/>
      <name val="Arial"/>
      <scheme val="minor"/>
    </font>
    <font>
      <b/>
      <color rgb="FF142D4F"/>
      <name val="Arial"/>
      <scheme val="minor"/>
    </font>
    <font>
      <b/>
      <sz val="9.0"/>
      <color rgb="FF9E6004"/>
      <name val="Arial"/>
      <scheme val="minor"/>
    </font>
    <font>
      <color rgb="FF724C07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42D4F"/>
        <bgColor rgb="FF142D4F"/>
      </patternFill>
    </fill>
    <fill>
      <patternFill patternType="solid">
        <fgColor rgb="FFF9E8EC"/>
        <bgColor rgb="FFF9E8EC"/>
      </patternFill>
    </fill>
    <fill>
      <patternFill patternType="solid">
        <fgColor rgb="FFF8F9FC"/>
        <bgColor rgb="FFF8F9FC"/>
      </patternFill>
    </fill>
    <fill>
      <patternFill patternType="solid">
        <fgColor rgb="FFFFFFFF"/>
        <bgColor rgb="FFFFFFFF"/>
      </patternFill>
    </fill>
    <fill>
      <patternFill patternType="solid">
        <fgColor rgb="FFE7ECF4"/>
        <bgColor rgb="FFE7ECF4"/>
      </patternFill>
    </fill>
    <fill>
      <patternFill patternType="solid">
        <fgColor rgb="FFFDF0F2"/>
        <bgColor rgb="FFFDF0F2"/>
      </patternFill>
    </fill>
    <fill>
      <patternFill patternType="solid">
        <fgColor rgb="FFFFF2D6"/>
        <bgColor rgb="FFFFF2D6"/>
      </patternFill>
    </fill>
    <fill>
      <patternFill patternType="solid">
        <fgColor rgb="FF1A3A6C"/>
        <bgColor rgb="FF1A3A6C"/>
      </patternFill>
    </fill>
    <fill>
      <patternFill patternType="solid">
        <fgColor rgb="FF14335B"/>
        <bgColor rgb="FF14335B"/>
      </patternFill>
    </fill>
    <fill>
      <patternFill patternType="solid">
        <fgColor rgb="FFFFEDC6"/>
        <bgColor rgb="FFFFEDC6"/>
      </patternFill>
    </fill>
    <fill>
      <patternFill patternType="solid">
        <fgColor rgb="FF132D4E"/>
        <bgColor rgb="FF132D4E"/>
      </patternFill>
    </fill>
    <fill>
      <patternFill patternType="solid">
        <fgColor rgb="FFEFF4F9"/>
        <bgColor rgb="FFEFF4F9"/>
      </patternFill>
    </fill>
    <fill>
      <patternFill patternType="solid">
        <fgColor rgb="FFFFF1D5"/>
        <bgColor rgb="FFFFF1D5"/>
      </patternFill>
    </fill>
    <fill>
      <patternFill patternType="solid">
        <fgColor rgb="FFF4F7F9"/>
        <bgColor rgb="FFF4F7F9"/>
      </patternFill>
    </fill>
    <fill>
      <patternFill patternType="solid">
        <fgColor rgb="FFE8F2F9"/>
        <bgColor rgb="FFE8F2F9"/>
      </patternFill>
    </fill>
  </fills>
  <borders count="15">
    <border/>
    <border>
      <left style="thin">
        <color rgb="FFDCE1EA"/>
      </left>
      <top style="thin">
        <color rgb="FFDCE1EA"/>
      </top>
    </border>
    <border>
      <top style="thin">
        <color rgb="FFDCE1EA"/>
      </top>
    </border>
    <border>
      <right style="thin">
        <color rgb="FFDCE1EA"/>
      </right>
      <top style="thin">
        <color rgb="FFDCE1EA"/>
      </top>
    </border>
    <border>
      <left style="thin">
        <color rgb="FFDCE1EA"/>
      </left>
    </border>
    <border>
      <right style="thin">
        <color rgb="FFDCE1EA"/>
      </right>
    </border>
    <border>
      <left style="thin">
        <color rgb="FFDCE1EA"/>
      </left>
      <right style="thin">
        <color rgb="FFDCE1EA"/>
      </right>
      <bottom style="thin">
        <color rgb="FFDCE1EA"/>
      </bottom>
    </border>
    <border>
      <left style="thin">
        <color rgb="FFDCE1EA"/>
      </left>
      <bottom style="thin">
        <color rgb="FFDCE1EA"/>
      </bottom>
    </border>
    <border>
      <bottom style="thin">
        <color rgb="FFDCE1EA"/>
      </bottom>
    </border>
    <border>
      <right style="thin">
        <color rgb="FFDCE1EA"/>
      </right>
      <bottom style="thin">
        <color rgb="FFDCE1EA"/>
      </bottom>
    </border>
    <border>
      <bottom style="thin">
        <color rgb="FFE6E9EE"/>
      </bottom>
    </border>
    <border>
      <left style="thin">
        <color rgb="FFDCE1EA"/>
      </left>
      <right style="thin">
        <color rgb="FFDCE1EA"/>
      </right>
    </border>
    <border>
      <left style="thin">
        <color rgb="FFDCE1EA"/>
      </left>
      <top style="thin">
        <color rgb="FFDCE1EA"/>
      </top>
      <bottom style="thin">
        <color rgb="FFDCE1EA"/>
      </bottom>
    </border>
    <border>
      <top style="thin">
        <color rgb="FFDCE1EA"/>
      </top>
      <bottom style="thin">
        <color rgb="FFDCE1EA"/>
      </bottom>
    </border>
    <border>
      <right style="thin">
        <color rgb="FFDCE1EA"/>
      </right>
      <top style="thin">
        <color rgb="FFDCE1EA"/>
      </top>
      <bottom style="thin">
        <color rgb="FFDCE1EA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quotePrefix="1"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2" fontId="2" numFmtId="0" xfId="0" applyAlignment="1" applyFill="1" applyFont="1">
      <alignment readingOrder="0" shrinkToFit="0" wrapText="1"/>
    </xf>
    <xf borderId="0" fillId="2" fontId="4" numFmtId="0" xfId="0" applyAlignment="1" applyFill="1" applyFont="1">
      <alignment horizontal="left" readingOrder="0" vertical="center"/>
    </xf>
    <xf borderId="0" fillId="2" fontId="5" numFmtId="0" xfId="0" applyAlignment="1" applyFill="1" applyFont="1">
      <alignment horizontal="left" readingOrder="0" vertical="center"/>
    </xf>
    <xf borderId="0" fillId="3" fontId="6" numFmtId="0" xfId="0" applyAlignment="1" applyFill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2" fillId="0" fontId="8" numFmtId="0" xfId="0" applyBorder="1" applyFont="1"/>
    <xf borderId="3" fillId="0" fontId="8" numFmtId="0" xfId="0" applyBorder="1" applyFont="1"/>
    <xf borderId="4" fillId="4" fontId="7" numFmtId="0" xfId="0" applyAlignment="1" applyBorder="1" applyFill="1" applyFont="1">
      <alignment horizontal="center" readingOrder="0" shrinkToFit="0" vertical="center" wrapText="1"/>
    </xf>
    <xf borderId="5" fillId="0" fontId="8" numFmtId="0" xfId="0" applyBorder="1" applyFont="1"/>
    <xf borderId="6" fillId="4" fontId="7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ill="1" applyFont="1">
      <alignment readingOrder="0" vertical="center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4" fillId="5" fontId="10" numFmtId="0" xfId="0" applyAlignment="1" applyBorder="1" applyFill="1" applyFont="1">
      <alignment horizontal="center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0" fillId="6" fontId="12" numFmtId="0" xfId="0" applyAlignment="1" applyFill="1" applyFont="1">
      <alignment horizontal="center" readingOrder="0" shrinkToFit="0" vertical="center" wrapText="1"/>
    </xf>
    <xf borderId="10" fillId="7" fontId="13" numFmtId="0" xfId="0" applyAlignment="1" applyBorder="1" applyFill="1" applyFont="1">
      <alignment readingOrder="0" shrinkToFit="0" vertical="top" wrapText="1"/>
    </xf>
    <xf borderId="10" fillId="0" fontId="13" numFmtId="0" xfId="0" applyAlignment="1" applyBorder="1" applyFont="1">
      <alignment readingOrder="0" shrinkToFit="0" vertical="top" wrapText="1"/>
    </xf>
    <xf borderId="1" fillId="4" fontId="14" numFmtId="0" xfId="0" applyAlignment="1" applyBorder="1" applyFill="1" applyFont="1">
      <alignment readingOrder="0" shrinkToFit="0" vertical="top" wrapText="1"/>
    </xf>
    <xf borderId="4" fillId="4" fontId="14" numFmtId="0" xfId="0" applyAlignment="1" applyBorder="1" applyFill="1" applyFont="1">
      <alignment readingOrder="0" shrinkToFit="0" vertical="top" wrapText="1"/>
    </xf>
    <xf borderId="11" fillId="4" fontId="14" numFmtId="0" xfId="0" applyAlignment="1" applyBorder="1" applyFill="1" applyFont="1">
      <alignment readingOrder="0" shrinkToFit="0" vertical="top" wrapText="1"/>
    </xf>
    <xf borderId="6" fillId="4" fontId="14" numFmtId="0" xfId="0" applyAlignment="1" applyBorder="1" applyFill="1" applyFont="1">
      <alignment readingOrder="0" shrinkToFit="0" vertical="top" wrapText="1"/>
    </xf>
    <xf borderId="0" fillId="6" fontId="12" numFmtId="0" xfId="0" applyAlignment="1" applyFill="1" applyFont="1">
      <alignment horizontal="center" readingOrder="0"/>
    </xf>
    <xf borderId="12" fillId="4" fontId="7" numFmtId="0" xfId="0" applyAlignment="1" applyBorder="1" applyFill="1" applyFont="1">
      <alignment horizontal="center" readingOrder="0" shrinkToFit="0" vertical="center" wrapText="1"/>
    </xf>
    <xf borderId="13" fillId="0" fontId="8" numFmtId="0" xfId="0" applyBorder="1" applyFont="1"/>
    <xf borderId="14" fillId="0" fontId="8" numFmtId="0" xfId="0" applyBorder="1" applyFont="1"/>
    <xf borderId="12" fillId="4" fontId="15" numFmtId="0" xfId="0" applyAlignment="1" applyBorder="1" applyFill="1" applyFont="1">
      <alignment horizontal="center" readingOrder="0" shrinkToFit="0" vertical="center" wrapText="1"/>
    </xf>
    <xf borderId="12" fillId="8" fontId="16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top" wrapText="1"/>
    </xf>
    <xf borderId="0" fillId="9" fontId="2" numFmtId="0" xfId="0" applyAlignment="1" applyFill="1" applyFont="1">
      <alignment horizontal="center"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11" fontId="18" numFmtId="0" xfId="0" applyAlignment="1" applyFill="1" applyFont="1">
      <alignment readingOrder="0" shrinkToFit="0" vertical="top" wrapText="1"/>
    </xf>
    <xf borderId="0" fillId="10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2" fontId="19" numFmtId="0" xfId="0" applyAlignment="1" applyFill="1" applyFont="1">
      <alignment readingOrder="0" vertical="center"/>
    </xf>
    <xf borderId="0" fillId="4" fontId="20" numFmtId="0" xfId="0" applyAlignment="1" applyFill="1" applyFont="1">
      <alignment readingOrder="0" shrinkToFit="0" vertical="center" wrapText="1"/>
    </xf>
    <xf borderId="0" fillId="0" fontId="21" numFmtId="9" xfId="0" applyAlignment="1" applyFont="1" applyNumberFormat="1">
      <alignment horizontal="center" readingOrder="0"/>
    </xf>
    <xf borderId="0" fillId="2" fontId="22" numFmtId="0" xfId="0" applyAlignment="1" applyFill="1" applyFont="1">
      <alignment horizontal="center" readingOrder="0" shrinkToFit="0" vertical="center" wrapText="1"/>
    </xf>
    <xf borderId="10" fillId="7" fontId="13" numFmtId="0" xfId="0" applyAlignment="1" applyBorder="1" applyFill="1" applyFont="1">
      <alignment shrinkToFit="0" vertical="top" wrapText="1"/>
    </xf>
    <xf borderId="0" fillId="4" fontId="23" numFmtId="0" xfId="0" applyAlignment="1" applyFill="1" applyFont="1">
      <alignment readingOrder="0" shrinkToFit="0" vertical="center" wrapText="1"/>
    </xf>
    <xf borderId="0" fillId="12" fontId="24" numFmtId="0" xfId="0" applyAlignment="1" applyFill="1" applyFont="1">
      <alignment horizontal="left" shrinkToFit="0" vertical="center" wrapText="1"/>
    </xf>
    <xf borderId="0" fillId="13" fontId="25" numFmtId="0" xfId="0" applyAlignment="1" applyFill="1" applyFont="1">
      <alignment shrinkToFit="0" vertical="center" wrapText="1"/>
    </xf>
    <xf borderId="10" fillId="0" fontId="13" numFmtId="0" xfId="0" applyAlignment="1" applyBorder="1" applyFont="1">
      <alignment shrinkToFit="0" vertical="top" wrapText="1"/>
    </xf>
    <xf borderId="0" fillId="14" fontId="26" numFmtId="0" xfId="0" applyAlignment="1" applyFill="1" applyFont="1">
      <alignment shrinkToFit="0" vertical="center" wrapText="1"/>
    </xf>
    <xf borderId="0" fillId="12" fontId="2" numFmtId="0" xfId="0" applyAlignment="1" applyFill="1" applyFont="1">
      <alignment shrinkToFit="0" vertical="center" wrapText="1"/>
    </xf>
    <xf borderId="0" fillId="6" fontId="27" numFmtId="0" xfId="0" applyAlignment="1" applyFill="1" applyFont="1">
      <alignment readingOrder="0" shrinkToFit="0" wrapText="1"/>
    </xf>
    <xf borderId="0" fillId="8" fontId="28" numFmtId="0" xfId="0" applyAlignment="1" applyFill="1" applyFont="1">
      <alignment readingOrder="0" shrinkToFit="0" vertical="center" wrapText="1"/>
    </xf>
    <xf borderId="0" fillId="12" fontId="24" numFmtId="0" xfId="0" applyAlignment="1" applyFill="1" applyFont="1">
      <alignment shrinkToFit="0" vertical="center" wrapText="1"/>
    </xf>
    <xf borderId="0" fillId="13" fontId="1" numFmtId="0" xfId="0" applyAlignment="1" applyFill="1" applyFont="1">
      <alignment shrinkToFit="0" vertical="center" wrapText="1"/>
    </xf>
    <xf borderId="0" fillId="12" fontId="2" numFmtId="0" xfId="0" applyAlignment="1" applyFill="1" applyFont="1">
      <alignment vertical="center"/>
    </xf>
    <xf borderId="0" fillId="15" fontId="1" numFmtId="0" xfId="0" applyAlignment="1" applyFill="1" applyFont="1">
      <alignment shrinkToFit="0" vertical="top" wrapText="1"/>
    </xf>
    <xf borderId="0" fillId="16" fontId="21" numFmtId="0" xfId="0" applyAlignment="1" applyFill="1" applyFont="1">
      <alignment horizontal="center" shrinkToFit="0" vertical="center" wrapText="1"/>
    </xf>
    <xf borderId="10" fillId="7" fontId="13" numFmtId="164" xfId="0" applyAlignment="1" applyBorder="1" applyFill="1" applyFont="1" applyNumberFormat="1">
      <alignment readingOrder="0" shrinkToFit="0" vertical="top" wrapText="1"/>
    </xf>
    <xf borderId="0" fillId="16" fontId="21" numFmtId="164" xfId="0" applyAlignment="1" applyFill="1" applyFont="1" applyNumberFormat="1">
      <alignment horizontal="center" shrinkToFit="0" vertical="center" wrapText="1"/>
    </xf>
    <xf borderId="0" fillId="16" fontId="21" numFmtId="165" xfId="0" applyAlignment="1" applyFill="1" applyFont="1" applyNumberFormat="1">
      <alignment horizontal="center" shrinkToFit="0" vertical="center" wrapText="1"/>
    </xf>
    <xf quotePrefix="1" borderId="10" fillId="7" fontId="13" numFmtId="0" xfId="0" applyAlignment="1" applyBorder="1" applyFill="1" applyFont="1">
      <alignment readingOrder="0" shrinkToFit="0" vertical="top" wrapText="1"/>
    </xf>
    <xf borderId="0" fillId="14" fontId="29" numFmtId="0" xfId="0" applyAlignment="1" applyFill="1" applyFont="1">
      <alignment shrinkToFit="0" vertical="center" wrapText="1"/>
    </xf>
    <xf borderId="0" fillId="0" fontId="1" numFmtId="166" xfId="0" applyAlignment="1" applyFont="1" applyNumberFormat="1">
      <alignment shrinkToFit="0" vertical="top" wrapText="1"/>
    </xf>
    <xf borderId="0" fillId="0" fontId="1" numFmtId="2" xfId="0" applyAlignment="1" applyFont="1" applyNumberFormat="1">
      <alignment shrinkToFit="0" vertical="top" wrapText="1"/>
    </xf>
    <xf borderId="0" fillId="0" fontId="1" numFmtId="4" xfId="0" applyAlignment="1" applyFont="1" applyNumberFormat="1">
      <alignment shrinkToFit="0" vertical="top" wrapText="1"/>
    </xf>
    <xf borderId="10" fillId="7" fontId="13" numFmtId="164" xfId="0" applyAlignment="1" applyBorder="1" applyFill="1" applyFont="1" applyNumberFormat="1">
      <alignment shrinkToFit="0" vertical="top" wrapText="1"/>
    </xf>
    <xf borderId="10" fillId="0" fontId="13" numFmtId="164" xfId="0" applyAlignment="1" applyBorder="1" applyFont="1" applyNumberFormat="1">
      <alignment shrinkToFit="0" vertical="top" wrapText="1"/>
    </xf>
    <xf quotePrefix="1" borderId="10" fillId="0" fontId="1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6">
    <dxf>
      <font>
        <b/>
        <color rgb="FF9E6004"/>
      </font>
      <fill>
        <patternFill patternType="solid">
          <fgColor rgb="FFFFF2D6"/>
          <bgColor rgb="FFFFF2D6"/>
        </patternFill>
      </fill>
      <border/>
    </dxf>
    <dxf>
      <font>
        <b/>
        <color rgb="FF1C6F32"/>
      </font>
      <fill>
        <patternFill patternType="solid">
          <fgColor rgb="FFE6F5E9"/>
          <bgColor rgb="FFE6F5E9"/>
        </patternFill>
      </fill>
      <border/>
    </dxf>
    <dxf>
      <font>
        <b/>
        <color rgb="FFA60C2B"/>
      </font>
      <fill>
        <patternFill patternType="solid">
          <fgColor rgb="FFF9E8EC"/>
          <bgColor rgb="FFF9E8EC"/>
        </patternFill>
      </fill>
      <border/>
    </dxf>
    <dxf>
      <font>
        <b/>
        <color rgb="FF1C6E31"/>
      </font>
      <fill>
        <patternFill patternType="solid">
          <fgColor rgb="FFE6F5E9"/>
          <bgColor rgb="FFE6F5E9"/>
        </patternFill>
      </fill>
      <border/>
    </dxf>
    <dxf>
      <font>
        <b/>
        <color rgb="FF9E5F04"/>
      </font>
      <fill>
        <patternFill patternType="solid">
          <fgColor rgb="FFFFF1D5"/>
          <bgColor rgb="FFFFF1D5"/>
        </patternFill>
      </fill>
      <border/>
    </dxf>
    <dxf>
      <font>
        <b/>
        <color rgb="FFA60B2B"/>
      </font>
      <fill>
        <patternFill patternType="solid">
          <fgColor rgb="FFF8E8EB"/>
          <bgColor rgb="FFF8E8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Calibration Pipeline Completion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'Dashboard Inputs'!$A$13:$A$16</c:f>
            </c:strRef>
          </c:cat>
          <c:val>
            <c:numRef>
              <c:f>'Dashboard Inputs'!$D$13:$D$16</c:f>
              <c:numCache/>
            </c:numRef>
          </c:val>
        </c:ser>
        <c:axId val="1734170928"/>
        <c:axId val="2086425364"/>
      </c:barChart>
      <c:catAx>
        <c:axId val="17341709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Calibration 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425364"/>
      </c:catAx>
      <c:valAx>
        <c:axId val="2086425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170928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33</xdr:row>
      <xdr:rowOff>76200</xdr:rowOff>
    </xdr:from>
    <xdr:ext cx="6858000" cy="2857500"/>
    <xdr:graphicFrame>
      <xdr:nvGraphicFramePr>
        <xdr:cNvPr id="1" name="Chart 1" title="Calibration Pipeline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eGvAn9ZvGrCKaBnvot_iqCkITzAsJlsNsOteIiyCT58/edit?usp=drivesdk" TargetMode="External"/><Relationship Id="rId84" Type="http://schemas.openxmlformats.org/officeDocument/2006/relationships/hyperlink" Target="https://docs.google.com/spreadsheets/d/1XfHiOhLTJvGO_VKHyitZ8ijc_og8feRt5wAfyi8PC48/edit?usp=drivesdk" TargetMode="External"/><Relationship Id="rId83" Type="http://schemas.openxmlformats.org/officeDocument/2006/relationships/hyperlink" Target="https://docs.google.com/document/d/1JZeibH6jDWNLybYCgJMq-fEYwidL32H4_BTkQFD0Ozw/edit?usp=drivesdk" TargetMode="External"/><Relationship Id="rId42" Type="http://schemas.openxmlformats.org/officeDocument/2006/relationships/hyperlink" Target="https://docs.google.com/document/d/1eGvAn9ZvGrCKaBnvot_iqCkITzAsJlsNsOteIiyCT58/edit?usp=drivesdk" TargetMode="External"/><Relationship Id="rId86" Type="http://schemas.openxmlformats.org/officeDocument/2006/relationships/hyperlink" Target="https://docs.google.com/spreadsheets/d/1XfHiOhLTJvGO_VKHyitZ8ijc_og8feRt5wAfyi8PC48/edit?usp=drivesdk" TargetMode="External"/><Relationship Id="rId41" Type="http://schemas.openxmlformats.org/officeDocument/2006/relationships/hyperlink" Target="https://docs.google.com/document/d/1eGvAn9ZvGrCKaBnvot_iqCkITzAsJlsNsOteIiyCT58/edit?usp=drivesdk" TargetMode="External"/><Relationship Id="rId85" Type="http://schemas.openxmlformats.org/officeDocument/2006/relationships/hyperlink" Target="https://docs.google.com/spreadsheets/d/1XfHiOhLTJvGO_VKHyitZ8ijc_og8feRt5wAfyi8PC48/edit?usp=drivesdk" TargetMode="External"/><Relationship Id="rId44" Type="http://schemas.openxmlformats.org/officeDocument/2006/relationships/hyperlink" Target="https://docs.google.com/document/d/1eGvAn9ZvGrCKaBnvot_iqCkITzAsJlsNsOteIiyCT58/edit?usp=drivesdk" TargetMode="External"/><Relationship Id="rId88" Type="http://schemas.openxmlformats.org/officeDocument/2006/relationships/hyperlink" Target="https://docs.google.com/spreadsheets/d/1XfHiOhLTJvGO_VKHyitZ8ijc_og8feRt5wAfyi8PC48/edit?usp=drivesdk" TargetMode="External"/><Relationship Id="rId43" Type="http://schemas.openxmlformats.org/officeDocument/2006/relationships/hyperlink" Target="https://docs.google.com/document/d/1eGvAn9ZvGrCKaBnvot_iqCkITzAsJlsNsOteIiyCT58/edit?usp=drivesdk" TargetMode="External"/><Relationship Id="rId87" Type="http://schemas.openxmlformats.org/officeDocument/2006/relationships/hyperlink" Target="https://docs.google.com/spreadsheets/d/1XfHiOhLTJvGO_VKHyitZ8ijc_og8feRt5wAfyi8PC48/edit?usp=drivesdk" TargetMode="External"/><Relationship Id="rId46" Type="http://schemas.openxmlformats.org/officeDocument/2006/relationships/hyperlink" Target="https://docs.google.com/document/d/1eGvAn9ZvGrCKaBnvot_iqCkITzAsJlsNsOteIiyCT58/edit?usp=drivesdk" TargetMode="External"/><Relationship Id="rId45" Type="http://schemas.openxmlformats.org/officeDocument/2006/relationships/hyperlink" Target="https://docs.google.com/document/d/1eGvAn9ZvGrCKaBnvot_iqCkITzAsJlsNsOteIiyCT58/edit?usp=drivesdk" TargetMode="External"/><Relationship Id="rId89" Type="http://schemas.openxmlformats.org/officeDocument/2006/relationships/hyperlink" Target="https://docs.google.com/spreadsheets/d/1XfHiOhLTJvGO_VKHyitZ8ijc_og8feRt5wAfyi8PC48/edit?usp=drivesdk" TargetMode="External"/><Relationship Id="rId80" Type="http://schemas.openxmlformats.org/officeDocument/2006/relationships/hyperlink" Target="https://docs.google.com/document/d/1JZeibH6jDWNLybYCgJMq-fEYwidL32H4_BTkQFD0Ozw/edit?usp=drivesdk" TargetMode="External"/><Relationship Id="rId82" Type="http://schemas.openxmlformats.org/officeDocument/2006/relationships/hyperlink" Target="https://docs.google.com/document/d/1JZeibH6jDWNLybYCgJMq-fEYwidL32H4_BTkQFD0Ozw/edit?usp=drivesdk" TargetMode="External"/><Relationship Id="rId81" Type="http://schemas.openxmlformats.org/officeDocument/2006/relationships/hyperlink" Target="https://docs.google.com/document/d/1JZeibH6jDWNLybYCgJMq-fEYwidL32H4_BTkQFD0Ozw/edit?usp=drivesdk" TargetMode="External"/><Relationship Id="rId1" Type="http://schemas.openxmlformats.org/officeDocument/2006/relationships/hyperlink" Target="https://docs.google.com/document/d/1IoV-RaOxb83z2IttGlRKy863G_pckAGUegBqnRkemgc/edit?usp=drivesdk" TargetMode="External"/><Relationship Id="rId2" Type="http://schemas.openxmlformats.org/officeDocument/2006/relationships/hyperlink" Target="https://docs.google.com/document/d/1IoV-RaOxb83z2IttGlRKy863G_pckAGUegBqnRkemgc/edit?usp=drivesdk" TargetMode="External"/><Relationship Id="rId3" Type="http://schemas.openxmlformats.org/officeDocument/2006/relationships/hyperlink" Target="https://docs.google.com/document/d/1IoV-RaOxb83z2IttGlRKy863G_pckAGUegBqnRkemgc/edit?usp=drivesdk" TargetMode="External"/><Relationship Id="rId4" Type="http://schemas.openxmlformats.org/officeDocument/2006/relationships/hyperlink" Target="https://docs.google.com/document/d/1IoV-RaOxb83z2IttGlRKy863G_pckAGUegBqnRkemgc/edit?usp=drivesdk" TargetMode="External"/><Relationship Id="rId9" Type="http://schemas.openxmlformats.org/officeDocument/2006/relationships/hyperlink" Target="https://docs.google.com/document/d/1IoV-RaOxb83z2IttGlRKy863G_pckAGUegBqnRkemgc/edit?usp=drivesdk" TargetMode="External"/><Relationship Id="rId48" Type="http://schemas.openxmlformats.org/officeDocument/2006/relationships/hyperlink" Target="https://docs.google.com/document/d/1eGvAn9ZvGrCKaBnvot_iqCkITzAsJlsNsOteIiyCT58/edit?usp=drivesdk" TargetMode="External"/><Relationship Id="rId47" Type="http://schemas.openxmlformats.org/officeDocument/2006/relationships/hyperlink" Target="https://docs.google.com/document/d/1eGvAn9ZvGrCKaBnvot_iqCkITzAsJlsNsOteIiyCT58/edit?usp=drivesdk" TargetMode="External"/><Relationship Id="rId49" Type="http://schemas.openxmlformats.org/officeDocument/2006/relationships/hyperlink" Target="https://docs.google.com/document/d/1eGvAn9ZvGrCKaBnvot_iqCkITzAsJlsNsOteIiyCT58/edit?usp=drivesdk" TargetMode="External"/><Relationship Id="rId5" Type="http://schemas.openxmlformats.org/officeDocument/2006/relationships/hyperlink" Target="https://docs.google.com/document/d/1IoV-RaOxb83z2IttGlRKy863G_pckAGUegBqnRkemgc/edit?usp=drivesdk" TargetMode="External"/><Relationship Id="rId6" Type="http://schemas.openxmlformats.org/officeDocument/2006/relationships/hyperlink" Target="https://docs.google.com/document/d/1IoV-RaOxb83z2IttGlRKy863G_pckAGUegBqnRkemgc/edit?usp=drivesdk" TargetMode="External"/><Relationship Id="rId7" Type="http://schemas.openxmlformats.org/officeDocument/2006/relationships/hyperlink" Target="https://docs.google.com/document/d/1IoV-RaOxb83z2IttGlRKy863G_pckAGUegBqnRkemgc/edit?usp=drivesdk" TargetMode="External"/><Relationship Id="rId8" Type="http://schemas.openxmlformats.org/officeDocument/2006/relationships/hyperlink" Target="https://docs.google.com/document/d/1IoV-RaOxb83z2IttGlRKy863G_pckAGUegBqnRkemgc/edit?usp=drivesdk" TargetMode="External"/><Relationship Id="rId73" Type="http://schemas.openxmlformats.org/officeDocument/2006/relationships/hyperlink" Target="https://docs.google.com/document/d/1JZeibH6jDWNLybYCgJMq-fEYwidL32H4_BTkQFD0Ozw/edit?usp=drivesdk" TargetMode="External"/><Relationship Id="rId72" Type="http://schemas.openxmlformats.org/officeDocument/2006/relationships/hyperlink" Target="https://docs.google.com/document/d/1JZeibH6jDWNLybYCgJMq-fEYwidL32H4_BTkQFD0Ozw/edit?usp=drivesdk" TargetMode="External"/><Relationship Id="rId31" Type="http://schemas.openxmlformats.org/officeDocument/2006/relationships/hyperlink" Target="https://docs.google.com/document/d/127YQA_Z0zcKBMCFBa4ZgW_kmnExCMgfpheJ_DeoXFmw/edit?usp=drivesdk" TargetMode="External"/><Relationship Id="rId75" Type="http://schemas.openxmlformats.org/officeDocument/2006/relationships/hyperlink" Target="https://docs.google.com/document/d/1JZeibH6jDWNLybYCgJMq-fEYwidL32H4_BTkQFD0Ozw/edit?usp=drivesdk" TargetMode="External"/><Relationship Id="rId30" Type="http://schemas.openxmlformats.org/officeDocument/2006/relationships/hyperlink" Target="https://docs.google.com/document/d/127YQA_Z0zcKBMCFBa4ZgW_kmnExCMgfpheJ_DeoXFmw/edit?usp=drivesdk" TargetMode="External"/><Relationship Id="rId74" Type="http://schemas.openxmlformats.org/officeDocument/2006/relationships/hyperlink" Target="https://docs.google.com/document/d/1JZeibH6jDWNLybYCgJMq-fEYwidL32H4_BTkQFD0Ozw/edit?usp=drivesdk" TargetMode="External"/><Relationship Id="rId33" Type="http://schemas.openxmlformats.org/officeDocument/2006/relationships/hyperlink" Target="https://docs.google.com/document/d/127YQA_Z0zcKBMCFBa4ZgW_kmnExCMgfpheJ_DeoXFmw/edit?usp=drivesdk" TargetMode="External"/><Relationship Id="rId77" Type="http://schemas.openxmlformats.org/officeDocument/2006/relationships/hyperlink" Target="https://docs.google.com/document/d/1JZeibH6jDWNLybYCgJMq-fEYwidL32H4_BTkQFD0Ozw/edit?usp=drivesdk" TargetMode="External"/><Relationship Id="rId32" Type="http://schemas.openxmlformats.org/officeDocument/2006/relationships/hyperlink" Target="https://docs.google.com/document/d/127YQA_Z0zcKBMCFBa4ZgW_kmnExCMgfpheJ_DeoXFmw/edit?usp=drivesdk" TargetMode="External"/><Relationship Id="rId76" Type="http://schemas.openxmlformats.org/officeDocument/2006/relationships/hyperlink" Target="https://docs.google.com/document/d/1JZeibH6jDWNLybYCgJMq-fEYwidL32H4_BTkQFD0Ozw/edit?usp=drivesdk" TargetMode="External"/><Relationship Id="rId35" Type="http://schemas.openxmlformats.org/officeDocument/2006/relationships/hyperlink" Target="https://docs.google.com/document/d/127YQA_Z0zcKBMCFBa4ZgW_kmnExCMgfpheJ_DeoXFmw/edit?usp=drivesdk" TargetMode="External"/><Relationship Id="rId79" Type="http://schemas.openxmlformats.org/officeDocument/2006/relationships/hyperlink" Target="https://docs.google.com/document/d/1JZeibH6jDWNLybYCgJMq-fEYwidL32H4_BTkQFD0Ozw/edit?usp=drivesdk" TargetMode="External"/><Relationship Id="rId34" Type="http://schemas.openxmlformats.org/officeDocument/2006/relationships/hyperlink" Target="https://docs.google.com/document/d/127YQA_Z0zcKBMCFBa4ZgW_kmnExCMgfpheJ_DeoXFmw/edit?usp=drivesdk" TargetMode="External"/><Relationship Id="rId78" Type="http://schemas.openxmlformats.org/officeDocument/2006/relationships/hyperlink" Target="https://docs.google.com/document/d/1JZeibH6jDWNLybYCgJMq-fEYwidL32H4_BTkQFD0Ozw/edit?usp=drivesdk" TargetMode="External"/><Relationship Id="rId71" Type="http://schemas.openxmlformats.org/officeDocument/2006/relationships/hyperlink" Target="https://docs.google.com/document/d/1JZeibH6jDWNLybYCgJMq-fEYwidL32H4_BTkQFD0Ozw/edit?usp=drivesdk" TargetMode="External"/><Relationship Id="rId70" Type="http://schemas.openxmlformats.org/officeDocument/2006/relationships/hyperlink" Target="https://docs.google.com/document/d/1JZeibH6jDWNLybYCgJMq-fEYwidL32H4_BTkQFD0Ozw/edit?usp=drivesdk" TargetMode="External"/><Relationship Id="rId37" Type="http://schemas.openxmlformats.org/officeDocument/2006/relationships/hyperlink" Target="https://docs.google.com/document/d/127YQA_Z0zcKBMCFBa4ZgW_kmnExCMgfpheJ_DeoXFmw/edit?usp=drivesdk" TargetMode="External"/><Relationship Id="rId36" Type="http://schemas.openxmlformats.org/officeDocument/2006/relationships/hyperlink" Target="https://docs.google.com/document/d/127YQA_Z0zcKBMCFBa4ZgW_kmnExCMgfpheJ_DeoXFmw/edit?usp=drivesdk" TargetMode="External"/><Relationship Id="rId39" Type="http://schemas.openxmlformats.org/officeDocument/2006/relationships/hyperlink" Target="https://docs.google.com/document/d/127YQA_Z0zcKBMCFBa4ZgW_kmnExCMgfpheJ_DeoXFmw/edit?usp=drivesdk" TargetMode="External"/><Relationship Id="rId38" Type="http://schemas.openxmlformats.org/officeDocument/2006/relationships/hyperlink" Target="https://docs.google.com/document/d/127YQA_Z0zcKBMCFBa4ZgW_kmnExCMgfpheJ_DeoXFmw/edit?usp=drivesdk" TargetMode="External"/><Relationship Id="rId62" Type="http://schemas.openxmlformats.org/officeDocument/2006/relationships/hyperlink" Target="https://docs.google.com/document/d/1doGDuain3lxIApXJtGNkRmL4FIkb1EphJ_IGoSFXJQ4/edit?usp=drivesdk" TargetMode="External"/><Relationship Id="rId61" Type="http://schemas.openxmlformats.org/officeDocument/2006/relationships/hyperlink" Target="https://docs.google.com/document/d/1doGDuain3lxIApXJtGNkRmL4FIkb1EphJ_IGoSFXJQ4/edit?usp=drivesdk" TargetMode="External"/><Relationship Id="rId20" Type="http://schemas.openxmlformats.org/officeDocument/2006/relationships/hyperlink" Target="https://docs.google.com/document/d/1opp2b-tGrMR5YcZ5IZfIjdlIIbNANJ3pPrJsKcnq5Rs/edit?usp=drivesdk" TargetMode="External"/><Relationship Id="rId64" Type="http://schemas.openxmlformats.org/officeDocument/2006/relationships/hyperlink" Target="https://docs.google.com/document/d/1JZeibH6jDWNLybYCgJMq-fEYwidL32H4_BTkQFD0Ozw/edit?usp=drivesdk" TargetMode="External"/><Relationship Id="rId63" Type="http://schemas.openxmlformats.org/officeDocument/2006/relationships/hyperlink" Target="https://docs.google.com/document/d/1doGDuain3lxIApXJtGNkRmL4FIkb1EphJ_IGoSFXJQ4/edit?usp=drivesdk" TargetMode="External"/><Relationship Id="rId22" Type="http://schemas.openxmlformats.org/officeDocument/2006/relationships/hyperlink" Target="https://docs.google.com/document/d/1opp2b-tGrMR5YcZ5IZfIjdlIIbNANJ3pPrJsKcnq5Rs/edit?usp=drivesdk" TargetMode="External"/><Relationship Id="rId66" Type="http://schemas.openxmlformats.org/officeDocument/2006/relationships/hyperlink" Target="https://docs.google.com/document/d/1JZeibH6jDWNLybYCgJMq-fEYwidL32H4_BTkQFD0Ozw/edit?usp=drivesdk" TargetMode="External"/><Relationship Id="rId21" Type="http://schemas.openxmlformats.org/officeDocument/2006/relationships/hyperlink" Target="https://docs.google.com/document/d/1opp2b-tGrMR5YcZ5IZfIjdlIIbNANJ3pPrJsKcnq5Rs/edit?usp=drivesdk" TargetMode="External"/><Relationship Id="rId65" Type="http://schemas.openxmlformats.org/officeDocument/2006/relationships/hyperlink" Target="https://docs.google.com/document/d/1JZeibH6jDWNLybYCgJMq-fEYwidL32H4_BTkQFD0Ozw/edit?usp=drivesdk" TargetMode="External"/><Relationship Id="rId24" Type="http://schemas.openxmlformats.org/officeDocument/2006/relationships/hyperlink" Target="https://docs.google.com/document/d/1opp2b-tGrMR5YcZ5IZfIjdlIIbNANJ3pPrJsKcnq5Rs/edit?usp=drivesdk" TargetMode="External"/><Relationship Id="rId68" Type="http://schemas.openxmlformats.org/officeDocument/2006/relationships/hyperlink" Target="https://docs.google.com/document/d/1JZeibH6jDWNLybYCgJMq-fEYwidL32H4_BTkQFD0Ozw/edit?usp=drivesdk" TargetMode="External"/><Relationship Id="rId23" Type="http://schemas.openxmlformats.org/officeDocument/2006/relationships/hyperlink" Target="https://docs.google.com/document/d/1opp2b-tGrMR5YcZ5IZfIjdlIIbNANJ3pPrJsKcnq5Rs/edit?usp=drivesdk" TargetMode="External"/><Relationship Id="rId67" Type="http://schemas.openxmlformats.org/officeDocument/2006/relationships/hyperlink" Target="https://docs.google.com/document/d/1JZeibH6jDWNLybYCgJMq-fEYwidL32H4_BTkQFD0Ozw/edit?usp=drivesdk" TargetMode="External"/><Relationship Id="rId60" Type="http://schemas.openxmlformats.org/officeDocument/2006/relationships/hyperlink" Target="https://docs.google.com/document/d/1doGDuain3lxIApXJtGNkRmL4FIkb1EphJ_IGoSFXJQ4/edit?usp=drivesdk" TargetMode="External"/><Relationship Id="rId26" Type="http://schemas.openxmlformats.org/officeDocument/2006/relationships/hyperlink" Target="https://docs.google.com/document/d/1opp2b-tGrMR5YcZ5IZfIjdlIIbNANJ3pPrJsKcnq5Rs/edit?usp=drivesdk" TargetMode="External"/><Relationship Id="rId25" Type="http://schemas.openxmlformats.org/officeDocument/2006/relationships/hyperlink" Target="https://docs.google.com/document/d/1opp2b-tGrMR5YcZ5IZfIjdlIIbNANJ3pPrJsKcnq5Rs/edit?usp=drivesdk" TargetMode="External"/><Relationship Id="rId69" Type="http://schemas.openxmlformats.org/officeDocument/2006/relationships/hyperlink" Target="https://docs.google.com/document/d/1JZeibH6jDWNLybYCgJMq-fEYwidL32H4_BTkQFD0Ozw/edit?usp=drivesdk" TargetMode="External"/><Relationship Id="rId28" Type="http://schemas.openxmlformats.org/officeDocument/2006/relationships/hyperlink" Target="https://docs.google.com/document/d/127YQA_Z0zcKBMCFBa4ZgW_kmnExCMgfpheJ_DeoXFmw/edit?usp=drivesdk" TargetMode="External"/><Relationship Id="rId27" Type="http://schemas.openxmlformats.org/officeDocument/2006/relationships/hyperlink" Target="https://docs.google.com/document/d/1opp2b-tGrMR5YcZ5IZfIjdlIIbNANJ3pPrJsKcnq5Rs/edit?usp=drivesdk" TargetMode="External"/><Relationship Id="rId29" Type="http://schemas.openxmlformats.org/officeDocument/2006/relationships/hyperlink" Target="https://docs.google.com/document/d/127YQA_Z0zcKBMCFBa4ZgW_kmnExCMgfpheJ_DeoXFmw/edit?usp=drivesdk" TargetMode="External"/><Relationship Id="rId51" Type="http://schemas.openxmlformats.org/officeDocument/2006/relationships/hyperlink" Target="https://docs.google.com/document/d/1eGvAn9ZvGrCKaBnvot_iqCkITzAsJlsNsOteIiyCT58/edit?usp=drivesdk" TargetMode="External"/><Relationship Id="rId95" Type="http://schemas.openxmlformats.org/officeDocument/2006/relationships/drawing" Target="../drawings/drawing4.xml"/><Relationship Id="rId50" Type="http://schemas.openxmlformats.org/officeDocument/2006/relationships/hyperlink" Target="https://docs.google.com/document/d/1eGvAn9ZvGrCKaBnvot_iqCkITzAsJlsNsOteIiyCT58/edit?usp=drivesdk" TargetMode="External"/><Relationship Id="rId94" Type="http://schemas.openxmlformats.org/officeDocument/2006/relationships/hyperlink" Target="https://docs.google.com/spreadsheets/d/1XfHiOhLTJvGO_VKHyitZ8ijc_og8feRt5wAfyi8PC48/edit?usp=drivesdk" TargetMode="External"/><Relationship Id="rId53" Type="http://schemas.openxmlformats.org/officeDocument/2006/relationships/hyperlink" Target="https://docs.google.com/document/d/1doGDuain3lxIApXJtGNkRmL4FIkb1EphJ_IGoSFXJQ4/edit?usp=drivesdk" TargetMode="External"/><Relationship Id="rId52" Type="http://schemas.openxmlformats.org/officeDocument/2006/relationships/hyperlink" Target="https://docs.google.com/document/d/1eGvAn9ZvGrCKaBnvot_iqCkITzAsJlsNsOteIiyCT58/edit?usp=drivesdk" TargetMode="External"/><Relationship Id="rId11" Type="http://schemas.openxmlformats.org/officeDocument/2006/relationships/hyperlink" Target="https://docs.google.com/document/d/1IoV-RaOxb83z2IttGlRKy863G_pckAGUegBqnRkemgc/edit?usp=drivesdk" TargetMode="External"/><Relationship Id="rId55" Type="http://schemas.openxmlformats.org/officeDocument/2006/relationships/hyperlink" Target="https://docs.google.com/document/d/1doGDuain3lxIApXJtGNkRmL4FIkb1EphJ_IGoSFXJQ4/edit?usp=drivesdk" TargetMode="External"/><Relationship Id="rId10" Type="http://schemas.openxmlformats.org/officeDocument/2006/relationships/hyperlink" Target="https://docs.google.com/document/d/1IoV-RaOxb83z2IttGlRKy863G_pckAGUegBqnRkemgc/edit?usp=drivesdk" TargetMode="External"/><Relationship Id="rId54" Type="http://schemas.openxmlformats.org/officeDocument/2006/relationships/hyperlink" Target="https://docs.google.com/document/d/1doGDuain3lxIApXJtGNkRmL4FIkb1EphJ_IGoSFXJQ4/edit?usp=drivesdk" TargetMode="External"/><Relationship Id="rId13" Type="http://schemas.openxmlformats.org/officeDocument/2006/relationships/hyperlink" Target="https://docs.google.com/document/d/1IoV-RaOxb83z2IttGlRKy863G_pckAGUegBqnRkemgc/edit?usp=drivesdk" TargetMode="External"/><Relationship Id="rId57" Type="http://schemas.openxmlformats.org/officeDocument/2006/relationships/hyperlink" Target="https://docs.google.com/document/d/1doGDuain3lxIApXJtGNkRmL4FIkb1EphJ_IGoSFXJQ4/edit?usp=drivesdk" TargetMode="External"/><Relationship Id="rId12" Type="http://schemas.openxmlformats.org/officeDocument/2006/relationships/hyperlink" Target="https://docs.google.com/document/d/1IoV-RaOxb83z2IttGlRKy863G_pckAGUegBqnRkemgc/edit?usp=drivesdk" TargetMode="External"/><Relationship Id="rId56" Type="http://schemas.openxmlformats.org/officeDocument/2006/relationships/hyperlink" Target="https://docs.google.com/document/d/1doGDuain3lxIApXJtGNkRmL4FIkb1EphJ_IGoSFXJQ4/edit?usp=drivesdk" TargetMode="External"/><Relationship Id="rId91" Type="http://schemas.openxmlformats.org/officeDocument/2006/relationships/hyperlink" Target="https://docs.google.com/spreadsheets/d/1XfHiOhLTJvGO_VKHyitZ8ijc_og8feRt5wAfyi8PC48/edit?usp=drivesdk" TargetMode="External"/><Relationship Id="rId90" Type="http://schemas.openxmlformats.org/officeDocument/2006/relationships/hyperlink" Target="https://docs.google.com/spreadsheets/d/1XfHiOhLTJvGO_VKHyitZ8ijc_og8feRt5wAfyi8PC48/edit?usp=drivesdk" TargetMode="External"/><Relationship Id="rId93" Type="http://schemas.openxmlformats.org/officeDocument/2006/relationships/hyperlink" Target="https://docs.google.com/spreadsheets/d/1XfHiOhLTJvGO_VKHyitZ8ijc_og8feRt5wAfyi8PC48/edit?usp=drivesdk" TargetMode="External"/><Relationship Id="rId92" Type="http://schemas.openxmlformats.org/officeDocument/2006/relationships/hyperlink" Target="https://docs.google.com/spreadsheets/d/1XfHiOhLTJvGO_VKHyitZ8ijc_og8feRt5wAfyi8PC48/edit?usp=drivesdk" TargetMode="External"/><Relationship Id="rId15" Type="http://schemas.openxmlformats.org/officeDocument/2006/relationships/hyperlink" Target="https://docs.google.com/document/d/1opp2b-tGrMR5YcZ5IZfIjdlIIbNANJ3pPrJsKcnq5Rs/edit?usp=drivesdk" TargetMode="External"/><Relationship Id="rId59" Type="http://schemas.openxmlformats.org/officeDocument/2006/relationships/hyperlink" Target="https://docs.google.com/document/d/1doGDuain3lxIApXJtGNkRmL4FIkb1EphJ_IGoSFXJQ4/edit?usp=drivesdk" TargetMode="External"/><Relationship Id="rId14" Type="http://schemas.openxmlformats.org/officeDocument/2006/relationships/hyperlink" Target="https://docs.google.com/document/d/1IoV-RaOxb83z2IttGlRKy863G_pckAGUegBqnRkemgc/edit?usp=drivesdk" TargetMode="External"/><Relationship Id="rId58" Type="http://schemas.openxmlformats.org/officeDocument/2006/relationships/hyperlink" Target="https://docs.google.com/document/d/1doGDuain3lxIApXJtGNkRmL4FIkb1EphJ_IGoSFXJQ4/edit?usp=drivesdk" TargetMode="External"/><Relationship Id="rId17" Type="http://schemas.openxmlformats.org/officeDocument/2006/relationships/hyperlink" Target="https://docs.google.com/document/d/1opp2b-tGrMR5YcZ5IZfIjdlIIbNANJ3pPrJsKcnq5Rs/edit?usp=drivesdk" TargetMode="External"/><Relationship Id="rId16" Type="http://schemas.openxmlformats.org/officeDocument/2006/relationships/hyperlink" Target="https://docs.google.com/document/d/1opp2b-tGrMR5YcZ5IZfIjdlIIbNANJ3pPrJsKcnq5Rs/edit?usp=drivesdk" TargetMode="External"/><Relationship Id="rId19" Type="http://schemas.openxmlformats.org/officeDocument/2006/relationships/hyperlink" Target="https://docs.google.com/document/d/1opp2b-tGrMR5YcZ5IZfIjdlIIbNANJ3pPrJsKcnq5Rs/edit?usp=drivesdk" TargetMode="External"/><Relationship Id="rId18" Type="http://schemas.openxmlformats.org/officeDocument/2006/relationships/hyperlink" Target="https://docs.google.com/document/d/1opp2b-tGrMR5YcZ5IZfIjdlIIbNANJ3pPrJsKcnq5Rs/edit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oV-RaOxb83z2IttGlRKy863G_pckAGUegBqnRkemgc/edit?usp=drivesdk" TargetMode="External"/><Relationship Id="rId2" Type="http://schemas.openxmlformats.org/officeDocument/2006/relationships/hyperlink" Target="https://docs.google.com/document/d/1opp2b-tGrMR5YcZ5IZfIjdlIIbNANJ3pPrJsKcnq5Rs/edit?usp=drivesdk" TargetMode="External"/><Relationship Id="rId3" Type="http://schemas.openxmlformats.org/officeDocument/2006/relationships/hyperlink" Target="https://docs.google.com/document/d/127YQA_Z0zcKBMCFBa4ZgW_kmnExCMgfpheJ_DeoXFmw/edit?usp=drivesdk" TargetMode="External"/><Relationship Id="rId4" Type="http://schemas.openxmlformats.org/officeDocument/2006/relationships/hyperlink" Target="https://docs.google.com/document/d/1eGvAn9ZvGrCKaBnvot_iqCkITzAsJlsNsOteIiyCT58/edit?usp=drivesdk" TargetMode="External"/><Relationship Id="rId9" Type="http://schemas.openxmlformats.org/officeDocument/2006/relationships/hyperlink" Target="https://docs.google.com/spreadsheets/d/1umALedtbSDV1V9LXgayk7MjvL7B9ZnlNAHuD9wBdykM/edit?usp=drivesdk" TargetMode="External"/><Relationship Id="rId5" Type="http://schemas.openxmlformats.org/officeDocument/2006/relationships/hyperlink" Target="https://docs.google.com/document/d/1doGDuain3lxIApXJtGNkRmL4FIkb1EphJ_IGoSFXJQ4/edit?usp=drivesdk" TargetMode="External"/><Relationship Id="rId6" Type="http://schemas.openxmlformats.org/officeDocument/2006/relationships/hyperlink" Target="https://docs.google.com/document/d/1JZeibH6jDWNLybYCgJMq-fEYwidL32H4_BTkQFD0Ozw/edit?usp=drivesdk" TargetMode="External"/><Relationship Id="rId7" Type="http://schemas.openxmlformats.org/officeDocument/2006/relationships/hyperlink" Target="https://docs.google.com/document/d/1JZeibH6jDWNLybYCgJMq-fEYwidL32H4_BTkQFD0Ozw/edit?usp=drivesdk" TargetMode="External"/><Relationship Id="rId8" Type="http://schemas.openxmlformats.org/officeDocument/2006/relationships/hyperlink" Target="https://docs.google.com/spreadsheets/d/1XfHiOhLTJvGO_VKHyitZ8ijc_og8feRt5wAfyi8PC48/edit?usp=drivesdk" TargetMode="External"/><Relationship Id="rId30" Type="http://schemas.openxmlformats.org/officeDocument/2006/relationships/drawing" Target="../drawings/drawing10.xml"/><Relationship Id="rId20" Type="http://schemas.openxmlformats.org/officeDocument/2006/relationships/hyperlink" Target="https://learn.microsoft.com/en-us/dynamics365/business-central/sales-how-send-partial-shipments" TargetMode="External"/><Relationship Id="rId22" Type="http://schemas.openxmlformats.org/officeDocument/2006/relationships/hyperlink" Target="https://learn.microsoft.com/en-us/dynamics365/business-central/production-manage-manufacturing" TargetMode="External"/><Relationship Id="rId21" Type="http://schemas.openxmlformats.org/officeDocument/2006/relationships/hyperlink" Target="https://docs.google.com/spreadsheets/d/1VsC-rDy7XjB-_T2TIvw1F7HsHZ3bJwqTPLn67xD0pMM/edit" TargetMode="External"/><Relationship Id="rId24" Type="http://schemas.openxmlformats.org/officeDocument/2006/relationships/hyperlink" Target="https://learn.microsoft.com/en-us/dynamics365/business-central/qms-overview" TargetMode="External"/><Relationship Id="rId23" Type="http://schemas.openxmlformats.org/officeDocument/2006/relationships/hyperlink" Target="https://learn.microsoft.com/en-us/dynamics365/business-central/production-how-to-create-production-orders" TargetMode="External"/><Relationship Id="rId26" Type="http://schemas.openxmlformats.org/officeDocument/2006/relationships/hyperlink" Target="https://learn.microsoft.com/en-us/power-automate/process-mining-processes-and-data" TargetMode="External"/><Relationship Id="rId25" Type="http://schemas.openxmlformats.org/officeDocument/2006/relationships/hyperlink" Target="https://learn.microsoft.com/en-us/dynamics365/business-central/finance-about-finished-production-order-costs" TargetMode="External"/><Relationship Id="rId28" Type="http://schemas.openxmlformats.org/officeDocument/2006/relationships/hyperlink" Target="https://learn.microsoft.com/en-us/dynamics365/business-central/across-setup-auditing" TargetMode="External"/><Relationship Id="rId27" Type="http://schemas.openxmlformats.org/officeDocument/2006/relationships/hyperlink" Target="https://learn.microsoft.com/en-us/dynamics365/business-central/dev-itpro/webservices/web-service-telemetry" TargetMode="External"/><Relationship Id="rId29" Type="http://schemas.openxmlformats.org/officeDocument/2006/relationships/hyperlink" Target="https://learn.microsoft.com/en-us/dynamics365/business-central/dev-itpro/api-reference/v2.0/" TargetMode="External"/><Relationship Id="rId11" Type="http://schemas.openxmlformats.org/officeDocument/2006/relationships/hyperlink" Target="https://learn.microsoft.com/en-us/power-automate/process-mining-overview" TargetMode="External"/><Relationship Id="rId10" Type="http://schemas.openxmlformats.org/officeDocument/2006/relationships/hyperlink" Target="https://www.apqc.org/resource-library/resource-listing/apqc-process-classification-framework-pcf-cross-industry-pdf-13" TargetMode="External"/><Relationship Id="rId13" Type="http://schemas.openxmlformats.org/officeDocument/2006/relationships/hyperlink" Target="https://docs.google.com/spreadsheets/d/1laHtFEUFbm3VAheUpIXssk8dKZ9sCiNyWZ7nC5wg9Es/edit" TargetMode="External"/><Relationship Id="rId12" Type="http://schemas.openxmlformats.org/officeDocument/2006/relationships/hyperlink" Target="https://learn.microsoft.com/en-us/dynamics365/business-central/production-about-production-orders" TargetMode="External"/><Relationship Id="rId15" Type="http://schemas.openxmlformats.org/officeDocument/2006/relationships/hyperlink" Target="https://learn.microsoft.com/lb-lu/Dynamics365/business-central/sales-how-send-partial-shipments" TargetMode="External"/><Relationship Id="rId14" Type="http://schemas.openxmlformats.org/officeDocument/2006/relationships/hyperlink" Target="https://learn.microsoft.com/en-us/dynamics365/business-central/marketing-integrate-dynamicscrm" TargetMode="External"/><Relationship Id="rId17" Type="http://schemas.openxmlformats.org/officeDocument/2006/relationships/hyperlink" Target="http://logisticsdistributionprdv1_2.md" TargetMode="External"/><Relationship Id="rId16" Type="http://schemas.openxmlformats.org/officeDocument/2006/relationships/hyperlink" Target="https://learn.microsoft.com/en-us/dynamics365/business-central/receivables-how-review-apply-payments-auto-application" TargetMode="External"/><Relationship Id="rId19" Type="http://schemas.openxmlformats.org/officeDocument/2006/relationships/hyperlink" Target="https://learn.microsoft.com/en-us/dynamics365/business-central/design-details-outbound-warehouse-flow" TargetMode="External"/><Relationship Id="rId18" Type="http://schemas.openxmlformats.org/officeDocument/2006/relationships/hyperlink" Target="https://docs.google.com/document/d/1MLBiWLQcWNHzTkK6WuJz3X2Q1hUG8Z1RLys1HNpkLkA/edit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3oTC3F9q076zLs0519cizrZSVzMfsoBl-hogIgGC10/edit" TargetMode="External"/><Relationship Id="rId2" Type="http://schemas.openxmlformats.org/officeDocument/2006/relationships/hyperlink" Target="https://docs.google.com/document/d/1P3oTC3F9q076zLs0519cizrZSVzMfsoBl-hogIgGC10/edit" TargetMode="External"/><Relationship Id="rId3" Type="http://schemas.openxmlformats.org/officeDocument/2006/relationships/hyperlink" Target="https://docs.google.com/document/d/1P3oTC3F9q076zLs0519cizrZSVzMfsoBl-hogIgGC10/edit" TargetMode="External"/><Relationship Id="rId4" Type="http://schemas.openxmlformats.org/officeDocument/2006/relationships/hyperlink" Target="https://docs.google.com/document/d/1IoV-RaOxb83z2IttGlRKy863G_pckAGUegBqnRkemgc/edit" TargetMode="External"/><Relationship Id="rId9" Type="http://schemas.openxmlformats.org/officeDocument/2006/relationships/hyperlink" Target="https://docs.google.com/document/d/1doGDuain3lxIApXJtGNkRmL4FIkb1EphJ_IGoSFXJQ4/edit" TargetMode="External"/><Relationship Id="rId5" Type="http://schemas.openxmlformats.org/officeDocument/2006/relationships/hyperlink" Target="https://docs.google.com/document/d/1doGDuain3lxIApXJtGNkRmL4FIkb1EphJ_IGoSFXJQ4/edit" TargetMode="External"/><Relationship Id="rId6" Type="http://schemas.openxmlformats.org/officeDocument/2006/relationships/hyperlink" Target="https://docs.google.com/document/d/1opp2b-tGrMR5YcZ5IZfIjdlIIbNANJ3pPrJsKcnq5Rs/edit" TargetMode="External"/><Relationship Id="rId7" Type="http://schemas.openxmlformats.org/officeDocument/2006/relationships/hyperlink" Target="https://docs.google.com/document/d/1doGDuain3lxIApXJtGNkRmL4FIkb1EphJ_IGoSFXJQ4/edit" TargetMode="External"/><Relationship Id="rId8" Type="http://schemas.openxmlformats.org/officeDocument/2006/relationships/hyperlink" Target="https://docs.google.com/document/d/1doGDuain3lxIApXJtGNkRmL4FIkb1EphJ_IGoSFXJQ4/edit" TargetMode="External"/><Relationship Id="rId30" Type="http://schemas.openxmlformats.org/officeDocument/2006/relationships/drawing" Target="../drawings/drawing11.xml"/><Relationship Id="rId20" Type="http://schemas.openxmlformats.org/officeDocument/2006/relationships/hyperlink" Target="https://docs.google.com/document/d/1doGDuain3lxIApXJtGNkRmL4FIkb1EphJ_IGoSFXJQ4/edit" TargetMode="External"/><Relationship Id="rId22" Type="http://schemas.openxmlformats.org/officeDocument/2006/relationships/hyperlink" Target="https://docs.google.com/document/d/1opp2b-tGrMR5YcZ5IZfIjdlIIbNANJ3pPrJsKcnq5Rs/edit" TargetMode="External"/><Relationship Id="rId21" Type="http://schemas.openxmlformats.org/officeDocument/2006/relationships/hyperlink" Target="https://docs.google.com/document/d/1opp2b-tGrMR5YcZ5IZfIjdlIIbNANJ3pPrJsKcnq5Rs/edit" TargetMode="External"/><Relationship Id="rId24" Type="http://schemas.openxmlformats.org/officeDocument/2006/relationships/hyperlink" Target="https://docs.google.com/document/d/1opp2b-tGrMR5YcZ5IZfIjdlIIbNANJ3pPrJsKcnq5Rs/edit" TargetMode="External"/><Relationship Id="rId23" Type="http://schemas.openxmlformats.org/officeDocument/2006/relationships/hyperlink" Target="https://docs.google.com/document/d/1opp2b-tGrMR5YcZ5IZfIjdlIIbNANJ3pPrJsKcnq5Rs/edit" TargetMode="External"/><Relationship Id="rId26" Type="http://schemas.openxmlformats.org/officeDocument/2006/relationships/hyperlink" Target="https://docs.google.com/document/d/1doGDuain3lxIApXJtGNkRmL4FIkb1EphJ_IGoSFXJQ4/edit" TargetMode="External"/><Relationship Id="rId25" Type="http://schemas.openxmlformats.org/officeDocument/2006/relationships/hyperlink" Target="https://docs.google.com/document/d/1opp2b-tGrMR5YcZ5IZfIjdlIIbNANJ3pPrJsKcnq5Rs/edit" TargetMode="External"/><Relationship Id="rId28" Type="http://schemas.openxmlformats.org/officeDocument/2006/relationships/hyperlink" Target="https://docs.google.com/document/d/1opp2b-tGrMR5YcZ5IZfIjdlIIbNANJ3pPrJsKcnq5Rs/edit" TargetMode="External"/><Relationship Id="rId27" Type="http://schemas.openxmlformats.org/officeDocument/2006/relationships/hyperlink" Target="https://docs.google.com/document/d/1opp2b-tGrMR5YcZ5IZfIjdlIIbNANJ3pPrJsKcnq5Rs/edit" TargetMode="External"/><Relationship Id="rId29" Type="http://schemas.openxmlformats.org/officeDocument/2006/relationships/hyperlink" Target="https://learn.microsoft.com/en-us/power-automate/process-mining-overview" TargetMode="External"/><Relationship Id="rId11" Type="http://schemas.openxmlformats.org/officeDocument/2006/relationships/hyperlink" Target="https://docs.google.com/document/d/1doGDuain3lxIApXJtGNkRmL4FIkb1EphJ_IGoSFXJQ4/edit" TargetMode="External"/><Relationship Id="rId10" Type="http://schemas.openxmlformats.org/officeDocument/2006/relationships/hyperlink" Target="https://docs.google.com/document/d/1doGDuain3lxIApXJtGNkRmL4FIkb1EphJ_IGoSFXJQ4/edit" TargetMode="External"/><Relationship Id="rId13" Type="http://schemas.openxmlformats.org/officeDocument/2006/relationships/hyperlink" Target="https://docs.google.com/document/d/1doGDuain3lxIApXJtGNkRmL4FIkb1EphJ_IGoSFXJQ4/edit" TargetMode="External"/><Relationship Id="rId12" Type="http://schemas.openxmlformats.org/officeDocument/2006/relationships/hyperlink" Target="https://docs.google.com/document/d/1doGDuain3lxIApXJtGNkRmL4FIkb1EphJ_IGoSFXJQ4/edit" TargetMode="External"/><Relationship Id="rId15" Type="http://schemas.openxmlformats.org/officeDocument/2006/relationships/hyperlink" Target="https://docs.google.com/document/d/1doGDuain3lxIApXJtGNkRmL4FIkb1EphJ_IGoSFXJQ4/edit" TargetMode="External"/><Relationship Id="rId14" Type="http://schemas.openxmlformats.org/officeDocument/2006/relationships/hyperlink" Target="https://docs.google.com/document/d/1doGDuain3lxIApXJtGNkRmL4FIkb1EphJ_IGoSFXJQ4/edit" TargetMode="External"/><Relationship Id="rId17" Type="http://schemas.openxmlformats.org/officeDocument/2006/relationships/hyperlink" Target="https://docs.google.com/document/d/1doGDuain3lxIApXJtGNkRmL4FIkb1EphJ_IGoSFXJQ4/edit" TargetMode="External"/><Relationship Id="rId16" Type="http://schemas.openxmlformats.org/officeDocument/2006/relationships/hyperlink" Target="https://docs.google.com/document/d/1doGDuain3lxIApXJtGNkRmL4FIkb1EphJ_IGoSFXJQ4/edit" TargetMode="External"/><Relationship Id="rId19" Type="http://schemas.openxmlformats.org/officeDocument/2006/relationships/hyperlink" Target="https://docs.google.com/document/d/1doGDuain3lxIApXJtGNkRmL4FIkb1EphJ_IGoSFXJQ4/edit" TargetMode="External"/><Relationship Id="rId18" Type="http://schemas.openxmlformats.org/officeDocument/2006/relationships/hyperlink" Target="https://docs.google.com/document/d/1doGDuain3lxIApXJtGNkRmL4FIkb1EphJ_IGoSFXJQ4/edit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IoV-RaOxb83z2IttGlRKy863G_pckAGUegBqnRkemgc/edit" TargetMode="External"/><Relationship Id="rId2" Type="http://schemas.openxmlformats.org/officeDocument/2006/relationships/hyperlink" Target="https://docs.google.com/document/d/1P3oTC3F9q076zLs0519cizrZSVzMfsoBl-hogIgGC10/edit" TargetMode="External"/><Relationship Id="rId3" Type="http://schemas.openxmlformats.org/officeDocument/2006/relationships/hyperlink" Target="https://docs.google.com/document/d/1IoV-RaOxb83z2IttGlRKy863G_pckAGUegBqnRkemgc/edit" TargetMode="External"/><Relationship Id="rId4" Type="http://schemas.openxmlformats.org/officeDocument/2006/relationships/hyperlink" Target="https://learn.microsoft.com/en-us/dynamics365/business-central/quick-start-sell-products-and-services" TargetMode="External"/><Relationship Id="rId9" Type="http://schemas.openxmlformats.org/officeDocument/2006/relationships/hyperlink" Target="https://docs.google.com/document/d/1doGDuain3lxIApXJtGNkRmL4FIkb1EphJ_IGoSFXJQ4/edit" TargetMode="External"/><Relationship Id="rId5" Type="http://schemas.openxmlformats.org/officeDocument/2006/relationships/hyperlink" Target="https://docs.google.com/document/d/1opp2b-tGrMR5YcZ5IZfIjdlIIbNANJ3pPrJsKcnq5Rs/edit" TargetMode="External"/><Relationship Id="rId6" Type="http://schemas.openxmlformats.org/officeDocument/2006/relationships/hyperlink" Target="https://docs.google.com/document/d/1eGvAn9ZvGrCKaBnvot_iqCkITzAsJlsNsOteIiyCT58/edit" TargetMode="External"/><Relationship Id="rId7" Type="http://schemas.openxmlformats.org/officeDocument/2006/relationships/hyperlink" Target="https://learn.microsoft.com/en-us/dynamics365/business-central/sales-how-send-partial-shipments" TargetMode="External"/><Relationship Id="rId8" Type="http://schemas.openxmlformats.org/officeDocument/2006/relationships/hyperlink" Target="https://docs.google.com/document/d/1doGDuain3lxIApXJtGNkRmL4FIkb1EphJ_IGoSFXJQ4/edit" TargetMode="External"/><Relationship Id="rId20" Type="http://schemas.openxmlformats.org/officeDocument/2006/relationships/hyperlink" Target="https://learn.microsoft.com/en-us/power-automate/process-mining-overview" TargetMode="External"/><Relationship Id="rId22" Type="http://schemas.openxmlformats.org/officeDocument/2006/relationships/drawing" Target="../drawings/drawing13.xml"/><Relationship Id="rId21" Type="http://schemas.openxmlformats.org/officeDocument/2006/relationships/hyperlink" Target="https://learn.microsoft.com/en-us/power-automate/process-mining-overview" TargetMode="External"/><Relationship Id="rId11" Type="http://schemas.openxmlformats.org/officeDocument/2006/relationships/hyperlink" Target="https://docs.google.com/document/d/1doGDuain3lxIApXJtGNkRmL4FIkb1EphJ_IGoSFXJQ4/edit" TargetMode="External"/><Relationship Id="rId10" Type="http://schemas.openxmlformats.org/officeDocument/2006/relationships/hyperlink" Target="https://docs.google.com/document/d/1doGDuain3lxIApXJtGNkRmL4FIkb1EphJ_IGoSFXJQ4/edit" TargetMode="External"/><Relationship Id="rId13" Type="http://schemas.openxmlformats.org/officeDocument/2006/relationships/hyperlink" Target="https://docs.google.com/document/d/1doGDuain3lxIApXJtGNkRmL4FIkb1EphJ_IGoSFXJQ4/edit" TargetMode="External"/><Relationship Id="rId12" Type="http://schemas.openxmlformats.org/officeDocument/2006/relationships/hyperlink" Target="https://docs.google.com/document/d/1doGDuain3lxIApXJtGNkRmL4FIkb1EphJ_IGoSFXJQ4/edit" TargetMode="External"/><Relationship Id="rId15" Type="http://schemas.openxmlformats.org/officeDocument/2006/relationships/hyperlink" Target="https://learn.microsoft.com/en-us/dynamics365/business-central/receivables-how-review-apply-payments-auto-application" TargetMode="External"/><Relationship Id="rId14" Type="http://schemas.openxmlformats.org/officeDocument/2006/relationships/hyperlink" Target="https://learn.microsoft.com/en-us/dynamics365/business-central/sales-how-send-partial-shipments" TargetMode="External"/><Relationship Id="rId17" Type="http://schemas.openxmlformats.org/officeDocument/2006/relationships/hyperlink" Target="https://learn.microsoft.com/en-us/dynamics365/business-central/across-business-functionality" TargetMode="External"/><Relationship Id="rId16" Type="http://schemas.openxmlformats.org/officeDocument/2006/relationships/hyperlink" Target="https://docs.google.com/document/d/1opp2b-tGrMR5YcZ5IZfIjdlIIbNANJ3pPrJsKcnq5Rs/edit" TargetMode="External"/><Relationship Id="rId19" Type="http://schemas.openxmlformats.org/officeDocument/2006/relationships/hyperlink" Target="https://learn.microsoft.com/en-us/power-automate/process-mining-overview" TargetMode="External"/><Relationship Id="rId18" Type="http://schemas.openxmlformats.org/officeDocument/2006/relationships/hyperlink" Target="https://docs.google.com/document/d/1opp2b-tGrMR5YcZ5IZfIjdlIIbNANJ3pPrJsKcnq5Rs/edit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7YQA_Z0zcKBMCFBa4ZgW_kmnExCMgfpheJ_DeoXFmw/edit" TargetMode="External"/><Relationship Id="rId2" Type="http://schemas.openxmlformats.org/officeDocument/2006/relationships/hyperlink" Target="https://learn.microsoft.com/en-us/dynamics365/business-central/planning-supply" TargetMode="External"/><Relationship Id="rId3" Type="http://schemas.openxmlformats.org/officeDocument/2006/relationships/hyperlink" Target="https://docs.google.com/spreadsheets/d/1laHtFEUFbm3VAheUpIXssk8dKZ9sCiNyWZ7nC5wg9Es/edit" TargetMode="External"/><Relationship Id="rId4" Type="http://schemas.openxmlformats.org/officeDocument/2006/relationships/hyperlink" Target="https://docs.google.com/document/d/127YQA_Z0zcKBMCFBa4ZgW_kmnExCMgfpheJ_DeoXFmw/edit" TargetMode="External"/><Relationship Id="rId9" Type="http://schemas.openxmlformats.org/officeDocument/2006/relationships/hyperlink" Target="https://docs.google.com/spreadsheets/d/1laHtFEUFbm3VAheUpIXssk8dKZ9sCiNyWZ7nC5wg9Es/edit" TargetMode="External"/><Relationship Id="rId5" Type="http://schemas.openxmlformats.org/officeDocument/2006/relationships/hyperlink" Target="https://docs.google.com/spreadsheets/d/1laHtFEUFbm3VAheUpIXssk8dKZ9sCiNyWZ7nC5wg9Es/edit" TargetMode="External"/><Relationship Id="rId6" Type="http://schemas.openxmlformats.org/officeDocument/2006/relationships/hyperlink" Target="https://docs.google.com/document/d/1opp2b-tGrMR5YcZ5IZfIjdlIIbNANJ3pPrJsKcnq5Rs/edit" TargetMode="External"/><Relationship Id="rId7" Type="http://schemas.openxmlformats.org/officeDocument/2006/relationships/hyperlink" Target="https://docs.google.com/document/d/127YQA_Z0zcKBMCFBa4ZgW_kmnExCMgfpheJ_DeoXFmw/edit" TargetMode="External"/><Relationship Id="rId8" Type="http://schemas.openxmlformats.org/officeDocument/2006/relationships/hyperlink" Target="https://learn.microsoft.com/en-us/dynamics365/business-central/across-workflow" TargetMode="External"/><Relationship Id="rId31" Type="http://schemas.openxmlformats.org/officeDocument/2006/relationships/hyperlink" Target="https://docs.google.com/document/d/1opp2b-tGrMR5YcZ5IZfIjdlIIbNANJ3pPrJsKcnq5Rs/edit" TargetMode="External"/><Relationship Id="rId30" Type="http://schemas.openxmlformats.org/officeDocument/2006/relationships/hyperlink" Target="https://docs.google.com/spreadsheets/d/1laHtFEUFbm3VAheUpIXssk8dKZ9sCiNyWZ7nC5wg9Es/edit" TargetMode="External"/><Relationship Id="rId33" Type="http://schemas.openxmlformats.org/officeDocument/2006/relationships/hyperlink" Target="https://docs.google.com/document/d/1opp2b-tGrMR5YcZ5IZfIjdlIIbNANJ3pPrJsKcnq5Rs/edit" TargetMode="External"/><Relationship Id="rId32" Type="http://schemas.openxmlformats.org/officeDocument/2006/relationships/hyperlink" Target="https://docs.google.com/document/d/1opp2b-tGrMR5YcZ5IZfIjdlIIbNANJ3pPrJsKcnq5Rs/edit" TargetMode="External"/><Relationship Id="rId35" Type="http://schemas.openxmlformats.org/officeDocument/2006/relationships/hyperlink" Target="https://docs.google.com/document/d/127YQA_Z0zcKBMCFBa4ZgW_kmnExCMgfpheJ_DeoXFmw/edit" TargetMode="External"/><Relationship Id="rId34" Type="http://schemas.openxmlformats.org/officeDocument/2006/relationships/hyperlink" Target="https://docs.google.com/document/d/1opp2b-tGrMR5YcZ5IZfIjdlIIbNANJ3pPrJsKcnq5Rs/edit" TargetMode="External"/><Relationship Id="rId37" Type="http://schemas.openxmlformats.org/officeDocument/2006/relationships/drawing" Target="../drawings/drawing14.xml"/><Relationship Id="rId36" Type="http://schemas.openxmlformats.org/officeDocument/2006/relationships/hyperlink" Target="https://learn.microsoft.com/en-us/dynamics365/business-central/across-workflow" TargetMode="External"/><Relationship Id="rId20" Type="http://schemas.openxmlformats.org/officeDocument/2006/relationships/hyperlink" Target="https://learn.microsoft.com/en-us/dynamics365/business-central/across-workflow" TargetMode="External"/><Relationship Id="rId22" Type="http://schemas.openxmlformats.org/officeDocument/2006/relationships/hyperlink" Target="https://docs.google.com/document/d/127YQA_Z0zcKBMCFBa4ZgW_kmnExCMgfpheJ_DeoXFmw/edit" TargetMode="External"/><Relationship Id="rId21" Type="http://schemas.openxmlformats.org/officeDocument/2006/relationships/hyperlink" Target="https://docs.google.com/spreadsheets/d/1laHtFEUFbm3VAheUpIXssk8dKZ9sCiNyWZ7nC5wg9Es/edit" TargetMode="External"/><Relationship Id="rId24" Type="http://schemas.openxmlformats.org/officeDocument/2006/relationships/hyperlink" Target="https://docs.google.com/spreadsheets/d/1laHtFEUFbm3VAheUpIXssk8dKZ9sCiNyWZ7nC5wg9Es/edit" TargetMode="External"/><Relationship Id="rId23" Type="http://schemas.openxmlformats.org/officeDocument/2006/relationships/hyperlink" Target="https://learn.microsoft.com/en-us/dynamics365/business-central/purchasing-manage-purchasing" TargetMode="External"/><Relationship Id="rId26" Type="http://schemas.openxmlformats.org/officeDocument/2006/relationships/hyperlink" Target="https://docs.google.com/document/d/127YQA_Z0zcKBMCFBa4ZgW_kmnExCMgfpheJ_DeoXFmw/edit" TargetMode="External"/><Relationship Id="rId25" Type="http://schemas.openxmlformats.org/officeDocument/2006/relationships/hyperlink" Target="https://docs.google.com/spreadsheets/d/1laHtFEUFbm3VAheUpIXssk8dKZ9sCiNyWZ7nC5wg9Es/edit" TargetMode="External"/><Relationship Id="rId28" Type="http://schemas.openxmlformats.org/officeDocument/2006/relationships/hyperlink" Target="https://learn.microsoft.com/en-us/dynamics365/business-central/purchasing-setup-purchasing" TargetMode="External"/><Relationship Id="rId27" Type="http://schemas.openxmlformats.org/officeDocument/2006/relationships/hyperlink" Target="https://docs.google.com/document/d/127YQA_Z0zcKBMCFBa4ZgW_kmnExCMgfpheJ_DeoXFmw/edit" TargetMode="External"/><Relationship Id="rId29" Type="http://schemas.openxmlformats.org/officeDocument/2006/relationships/hyperlink" Target="https://docs.google.com/document/d/1opp2b-tGrMR5YcZ5IZfIjdlIIbNANJ3pPrJsKcnq5Rs/edit" TargetMode="External"/><Relationship Id="rId11" Type="http://schemas.openxmlformats.org/officeDocument/2006/relationships/hyperlink" Target="https://docs.google.com/document/d/127YQA_Z0zcKBMCFBa4ZgW_kmnExCMgfpheJ_DeoXFmw/edit" TargetMode="External"/><Relationship Id="rId10" Type="http://schemas.openxmlformats.org/officeDocument/2006/relationships/hyperlink" Target="https://docs.google.com/document/d/127YQA_Z0zcKBMCFBa4ZgW_kmnExCMgfpheJ_DeoXFmw/edit" TargetMode="External"/><Relationship Id="rId13" Type="http://schemas.openxmlformats.org/officeDocument/2006/relationships/hyperlink" Target="https://docs.google.com/spreadsheets/d/1laHtFEUFbm3VAheUpIXssk8dKZ9sCiNyWZ7nC5wg9Es/edit" TargetMode="External"/><Relationship Id="rId12" Type="http://schemas.openxmlformats.org/officeDocument/2006/relationships/hyperlink" Target="https://docs.google.com/document/d/127YQA_Z0zcKBMCFBa4ZgW_kmnExCMgfpheJ_DeoXFmw/edit" TargetMode="External"/><Relationship Id="rId15" Type="http://schemas.openxmlformats.org/officeDocument/2006/relationships/hyperlink" Target="https://docs.google.com/document/d/127YQA_Z0zcKBMCFBa4ZgW_kmnExCMgfpheJ_DeoXFmw/edit" TargetMode="External"/><Relationship Id="rId14" Type="http://schemas.openxmlformats.org/officeDocument/2006/relationships/hyperlink" Target="https://docs.google.com/document/d/127YQA_Z0zcKBMCFBa4ZgW_kmnExCMgfpheJ_DeoXFmw/edit" TargetMode="External"/><Relationship Id="rId17" Type="http://schemas.openxmlformats.org/officeDocument/2006/relationships/hyperlink" Target="https://docs.google.com/spreadsheets/d/1laHtFEUFbm3VAheUpIXssk8dKZ9sCiNyWZ7nC5wg9Es/edit" TargetMode="External"/><Relationship Id="rId16" Type="http://schemas.openxmlformats.org/officeDocument/2006/relationships/hyperlink" Target="https://docs.google.com/document/d/127YQA_Z0zcKBMCFBa4ZgW_kmnExCMgfpheJ_DeoXFmw/edit" TargetMode="External"/><Relationship Id="rId19" Type="http://schemas.openxmlformats.org/officeDocument/2006/relationships/hyperlink" Target="https://learn.microsoft.com/en-us/dynamics365/business-central/purchasing-manage-purchasing" TargetMode="External"/><Relationship Id="rId18" Type="http://schemas.openxmlformats.org/officeDocument/2006/relationships/hyperlink" Target="https://learn.microsoft.com/en-us/dynamics365/business-central/across-set-up-workflows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7YQA_Z0zcKBMCFBa4ZgW_kmnExCMgfpheJ_DeoXFmw/edit" TargetMode="External"/><Relationship Id="rId2" Type="http://schemas.openxmlformats.org/officeDocument/2006/relationships/hyperlink" Target="https://docs.google.com/spreadsheets/d/1laHtFEUFbm3VAheUpIXssk8dKZ9sCiNyWZ7nC5wg9Es/edit" TargetMode="External"/><Relationship Id="rId3" Type="http://schemas.openxmlformats.org/officeDocument/2006/relationships/hyperlink" Target="https://learn.microsoft.com/en-us/dynamics365/business-central/planning-supply" TargetMode="External"/><Relationship Id="rId4" Type="http://schemas.openxmlformats.org/officeDocument/2006/relationships/hyperlink" Target="https://learn.microsoft.com/en-us/dynamics365/business-central/across-use-workflows" TargetMode="External"/><Relationship Id="rId9" Type="http://schemas.openxmlformats.org/officeDocument/2006/relationships/hyperlink" Target="https://docs.google.com/document/d/127YQA_Z0zcKBMCFBa4ZgW_kmnExCMgfpheJ_DeoXFmw/edit" TargetMode="External"/><Relationship Id="rId5" Type="http://schemas.openxmlformats.org/officeDocument/2006/relationships/hyperlink" Target="https://docs.google.com/document/d/127YQA_Z0zcKBMCFBa4ZgW_kmnExCMgfpheJ_DeoXFmw/edit" TargetMode="External"/><Relationship Id="rId6" Type="http://schemas.openxmlformats.org/officeDocument/2006/relationships/hyperlink" Target="https://docs.google.com/spreadsheets/d/1laHtFEUFbm3VAheUpIXssk8dKZ9sCiNyWZ7nC5wg9Es/edit" TargetMode="External"/><Relationship Id="rId7" Type="http://schemas.openxmlformats.org/officeDocument/2006/relationships/hyperlink" Target="https://docs.google.com/document/d/1opp2b-tGrMR5YcZ5IZfIjdlIIbNANJ3pPrJsKcnq5Rs/edit" TargetMode="External"/><Relationship Id="rId8" Type="http://schemas.openxmlformats.org/officeDocument/2006/relationships/hyperlink" Target="https://docs.google.com/document/d/127YQA_Z0zcKBMCFBa4ZgW_kmnExCMgfpheJ_DeoXFmw/edit" TargetMode="External"/><Relationship Id="rId20" Type="http://schemas.openxmlformats.org/officeDocument/2006/relationships/hyperlink" Target="https://docs.google.com/document/d/1opp2b-tGrMR5YcZ5IZfIjdlIIbNANJ3pPrJsKcnq5Rs/edit" TargetMode="External"/><Relationship Id="rId22" Type="http://schemas.openxmlformats.org/officeDocument/2006/relationships/hyperlink" Target="https://docs.google.com/document/d/127YQA_Z0zcKBMCFBa4ZgW_kmnExCMgfpheJ_DeoXFmw/edit" TargetMode="External"/><Relationship Id="rId21" Type="http://schemas.openxmlformats.org/officeDocument/2006/relationships/hyperlink" Target="https://learn.microsoft.com/en-us/dynamics365/business-central/across-use-workflows" TargetMode="External"/><Relationship Id="rId24" Type="http://schemas.openxmlformats.org/officeDocument/2006/relationships/hyperlink" Target="https://learn.microsoft.com/en-us/power-automate/process-advisor-overview" TargetMode="External"/><Relationship Id="rId23" Type="http://schemas.openxmlformats.org/officeDocument/2006/relationships/hyperlink" Target="https://learn.microsoft.com/en-us/power-automate/process-mining-overview" TargetMode="External"/><Relationship Id="rId26" Type="http://schemas.openxmlformats.org/officeDocument/2006/relationships/hyperlink" Target="https://learn.microsoft.com/en-us/power-automate/process-mining-overview" TargetMode="External"/><Relationship Id="rId25" Type="http://schemas.openxmlformats.org/officeDocument/2006/relationships/hyperlink" Target="https://docs.google.com/document/d/127YQA_Z0zcKBMCFBa4ZgW_kmnExCMgfpheJ_DeoXFmw/edit" TargetMode="External"/><Relationship Id="rId27" Type="http://schemas.openxmlformats.org/officeDocument/2006/relationships/drawing" Target="../drawings/drawing16.xml"/><Relationship Id="rId11" Type="http://schemas.openxmlformats.org/officeDocument/2006/relationships/hyperlink" Target="https://docs.google.com/spreadsheets/d/1laHtFEUFbm3VAheUpIXssk8dKZ9sCiNyWZ7nC5wg9Es/edit" TargetMode="External"/><Relationship Id="rId10" Type="http://schemas.openxmlformats.org/officeDocument/2006/relationships/hyperlink" Target="https://docs.google.com/document/d/127YQA_Z0zcKBMCFBa4ZgW_kmnExCMgfpheJ_DeoXFmw/edit" TargetMode="External"/><Relationship Id="rId13" Type="http://schemas.openxmlformats.org/officeDocument/2006/relationships/hyperlink" Target="https://learn.microsoft.com/en-us/dynamics365/business-central/across-use-workflows" TargetMode="External"/><Relationship Id="rId12" Type="http://schemas.openxmlformats.org/officeDocument/2006/relationships/hyperlink" Target="https://docs.google.com/spreadsheets/d/1laHtFEUFbm3VAheUpIXssk8dKZ9sCiNyWZ7nC5wg9Es/edit" TargetMode="External"/><Relationship Id="rId15" Type="http://schemas.openxmlformats.org/officeDocument/2006/relationships/hyperlink" Target="https://docs.google.com/document/d/127YQA_Z0zcKBMCFBa4ZgW_kmnExCMgfpheJ_DeoXFmw/edit" TargetMode="External"/><Relationship Id="rId14" Type="http://schemas.openxmlformats.org/officeDocument/2006/relationships/hyperlink" Target="https://docs.google.com/spreadsheets/d/1laHtFEUFbm3VAheUpIXssk8dKZ9sCiNyWZ7nC5wg9Es/edit" TargetMode="External"/><Relationship Id="rId17" Type="http://schemas.openxmlformats.org/officeDocument/2006/relationships/hyperlink" Target="https://learn.microsoft.com/en-us/dynamics365/business-central/qms-overview" TargetMode="External"/><Relationship Id="rId16" Type="http://schemas.openxmlformats.org/officeDocument/2006/relationships/hyperlink" Target="https://learn.microsoft.com/en-us/dynamics365/business-central/purchasing-manage-purchasing" TargetMode="External"/><Relationship Id="rId19" Type="http://schemas.openxmlformats.org/officeDocument/2006/relationships/hyperlink" Target="https://docs.google.com/document/d/1opp2b-tGrMR5YcZ5IZfIjdlIIbNANJ3pPrJsKcnq5Rs/edit" TargetMode="External"/><Relationship Id="rId18" Type="http://schemas.openxmlformats.org/officeDocument/2006/relationships/hyperlink" Target="https://learn.microsoft.com/en-us/dynamics365/business-central/qms-overview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oGDuain3lxIApXJtGNkRmL4FIkb1EphJ_IGoSFXJQ4/edit" TargetMode="External"/><Relationship Id="rId2" Type="http://schemas.openxmlformats.org/officeDocument/2006/relationships/hyperlink" Target="https://docs.google.com/document/d/1doGDuain3lxIApXJtGNkRmL4FIkb1EphJ_IGoSFXJQ4/edit" TargetMode="External"/><Relationship Id="rId3" Type="http://schemas.openxmlformats.org/officeDocument/2006/relationships/hyperlink" Target="https://docs.google.com/document/d/1MLBiWLQcWNHzTkK6WuJz3X2Q1hUG8Z1RLys1HNpkLkA/edit" TargetMode="External"/><Relationship Id="rId4" Type="http://schemas.openxmlformats.org/officeDocument/2006/relationships/hyperlink" Target="https://docs.google.com/document/d/1eGvAn9ZvGrCKaBnvot_iqCkITzAsJlsNsOteIiyCT58/edit" TargetMode="External"/><Relationship Id="rId9" Type="http://schemas.openxmlformats.org/officeDocument/2006/relationships/hyperlink" Target="https://docs.google.com/document/d/1doGDuain3lxIApXJtGNkRmL4FIkb1EphJ_IGoSFXJQ4/edit" TargetMode="External"/><Relationship Id="rId5" Type="http://schemas.openxmlformats.org/officeDocument/2006/relationships/hyperlink" Target="https://docs.google.com/document/d/1eGvAn9ZvGrCKaBnvot_iqCkITzAsJlsNsOteIiyCT58/edit" TargetMode="External"/><Relationship Id="rId6" Type="http://schemas.openxmlformats.org/officeDocument/2006/relationships/hyperlink" Target="https://docs.google.com/document/d/1MLBiWLQcWNHzTkK6WuJz3X2Q1hUG8Z1RLys1HNpkLkA/edit" TargetMode="External"/><Relationship Id="rId7" Type="http://schemas.openxmlformats.org/officeDocument/2006/relationships/hyperlink" Target="https://docs.google.com/document/d/1MLBiWLQcWNHzTkK6WuJz3X2Q1hUG8Z1RLys1HNpkLkA/edit" TargetMode="External"/><Relationship Id="rId8" Type="http://schemas.openxmlformats.org/officeDocument/2006/relationships/hyperlink" Target="https://docs.google.com/document/d/1MLBiWLQcWNHzTkK6WuJz3X2Q1hUG8Z1RLys1HNpkLkA/edit" TargetMode="External"/><Relationship Id="rId31" Type="http://schemas.openxmlformats.org/officeDocument/2006/relationships/hyperlink" Target="https://docs.google.com/document/d/1doGDuain3lxIApXJtGNkRmL4FIkb1EphJ_IGoSFXJQ4/edit" TargetMode="External"/><Relationship Id="rId30" Type="http://schemas.openxmlformats.org/officeDocument/2006/relationships/hyperlink" Target="https://docs.google.com/document/d/1opp2b-tGrMR5YcZ5IZfIjdlIIbNANJ3pPrJsKcnq5Rs/edit" TargetMode="External"/><Relationship Id="rId33" Type="http://schemas.openxmlformats.org/officeDocument/2006/relationships/drawing" Target="../drawings/drawing17.xml"/><Relationship Id="rId32" Type="http://schemas.openxmlformats.org/officeDocument/2006/relationships/hyperlink" Target="https://learn.microsoft.com/en-us/power-automate/process-mining-overview" TargetMode="External"/><Relationship Id="rId20" Type="http://schemas.openxmlformats.org/officeDocument/2006/relationships/hyperlink" Target="https://docs.google.com/document/d/1MLBiWLQcWNHzTkK6WuJz3X2Q1hUG8Z1RLys1HNpkLkA/edit" TargetMode="External"/><Relationship Id="rId22" Type="http://schemas.openxmlformats.org/officeDocument/2006/relationships/hyperlink" Target="https://docs.google.com/document/d/1MLBiWLQcWNHzTkK6WuJz3X2Q1hUG8Z1RLys1HNpkLkA/edit" TargetMode="External"/><Relationship Id="rId21" Type="http://schemas.openxmlformats.org/officeDocument/2006/relationships/hyperlink" Target="https://docs.google.com/document/d/1MLBiWLQcWNHzTkK6WuJz3X2Q1hUG8Z1RLys1HNpkLkA/edit" TargetMode="External"/><Relationship Id="rId24" Type="http://schemas.openxmlformats.org/officeDocument/2006/relationships/hyperlink" Target="https://learn.microsoft.com/en-us/dynamics365/business-central/sales-how-send-partial-shipments" TargetMode="External"/><Relationship Id="rId23" Type="http://schemas.openxmlformats.org/officeDocument/2006/relationships/hyperlink" Target="https://docs.google.com/document/d/1doGDuain3lxIApXJtGNkRmL4FIkb1EphJ_IGoSFXJQ4/edit" TargetMode="External"/><Relationship Id="rId26" Type="http://schemas.openxmlformats.org/officeDocument/2006/relationships/hyperlink" Target="https://docs.google.com/document/d/1doGDuain3lxIApXJtGNkRmL4FIkb1EphJ_IGoSFXJQ4/edit" TargetMode="External"/><Relationship Id="rId25" Type="http://schemas.openxmlformats.org/officeDocument/2006/relationships/hyperlink" Target="https://docs.google.com/document/d/1MLBiWLQcWNHzTkK6WuJz3X2Q1hUG8Z1RLys1HNpkLkA/edit" TargetMode="External"/><Relationship Id="rId28" Type="http://schemas.openxmlformats.org/officeDocument/2006/relationships/hyperlink" Target="https://learn.microsoft.com/en-us/dynamics365/business-central/sales-how-send-partial-shipments" TargetMode="External"/><Relationship Id="rId27" Type="http://schemas.openxmlformats.org/officeDocument/2006/relationships/hyperlink" Target="https://learn.microsoft.com/en-us/dynamics365/business-central/design-details-outbound-warehouse-flow" TargetMode="External"/><Relationship Id="rId29" Type="http://schemas.openxmlformats.org/officeDocument/2006/relationships/hyperlink" Target="https://docs.google.com/document/d/1MLBiWLQcWNHzTkK6WuJz3X2Q1hUG8Z1RLys1HNpkLkA/edit" TargetMode="External"/><Relationship Id="rId11" Type="http://schemas.openxmlformats.org/officeDocument/2006/relationships/hyperlink" Target="https://docs.google.com/document/d/1doGDuain3lxIApXJtGNkRmL4FIkb1EphJ_IGoSFXJQ4/edit" TargetMode="External"/><Relationship Id="rId10" Type="http://schemas.openxmlformats.org/officeDocument/2006/relationships/hyperlink" Target="https://docs.google.com/document/d/1MLBiWLQcWNHzTkK6WuJz3X2Q1hUG8Z1RLys1HNpkLkA/edit" TargetMode="External"/><Relationship Id="rId13" Type="http://schemas.openxmlformats.org/officeDocument/2006/relationships/hyperlink" Target="https://learn.microsoft.com/en-us/dynamics365/business-central/design-details-outbound-warehouse-flow" TargetMode="External"/><Relationship Id="rId12" Type="http://schemas.openxmlformats.org/officeDocument/2006/relationships/hyperlink" Target="https://docs.google.com/document/d/1doGDuain3lxIApXJtGNkRmL4FIkb1EphJ_IGoSFXJQ4/edit" TargetMode="External"/><Relationship Id="rId15" Type="http://schemas.openxmlformats.org/officeDocument/2006/relationships/hyperlink" Target="https://docs.google.com/document/d/1MLBiWLQcWNHzTkK6WuJz3X2Q1hUG8Z1RLys1HNpkLkA/edit" TargetMode="External"/><Relationship Id="rId14" Type="http://schemas.openxmlformats.org/officeDocument/2006/relationships/hyperlink" Target="https://learn.microsoft.com/en-us/dynamics365/business-central/design-details-outbound-warehouse-flow" TargetMode="External"/><Relationship Id="rId17" Type="http://schemas.openxmlformats.org/officeDocument/2006/relationships/hyperlink" Target="https://docs.google.com/document/d/1MLBiWLQcWNHzTkK6WuJz3X2Q1hUG8Z1RLys1HNpkLkA/edit" TargetMode="External"/><Relationship Id="rId16" Type="http://schemas.openxmlformats.org/officeDocument/2006/relationships/hyperlink" Target="https://docs.google.com/document/d/1doGDuain3lxIApXJtGNkRmL4FIkb1EphJ_IGoSFXJQ4/edit" TargetMode="External"/><Relationship Id="rId19" Type="http://schemas.openxmlformats.org/officeDocument/2006/relationships/hyperlink" Target="https://docs.google.com/document/d/1MLBiWLQcWNHzTkK6WuJz3X2Q1hUG8Z1RLys1HNpkLkA/edit" TargetMode="External"/><Relationship Id="rId18" Type="http://schemas.openxmlformats.org/officeDocument/2006/relationships/hyperlink" Target="https://docs.google.com/document/d/1doGDuain3lxIApXJtGNkRmL4FIkb1EphJ_IGoSFXJQ4/edit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LBiWLQcWNHzTkK6WuJz3X2Q1hUG8Z1RLys1HNpkLkA/edit" TargetMode="External"/><Relationship Id="rId2" Type="http://schemas.openxmlformats.org/officeDocument/2006/relationships/hyperlink" Target="https://docs.google.com/document/d/1doGDuain3lxIApXJtGNkRmL4FIkb1EphJ_IGoSFXJQ4/edit" TargetMode="External"/><Relationship Id="rId3" Type="http://schemas.openxmlformats.org/officeDocument/2006/relationships/hyperlink" Target="https://docs.google.com/document/d/1MLBiWLQcWNHzTkK6WuJz3X2Q1hUG8Z1RLys1HNpkLkA/edit" TargetMode="External"/><Relationship Id="rId4" Type="http://schemas.openxmlformats.org/officeDocument/2006/relationships/hyperlink" Target="https://docs.google.com/document/d/1eGvAn9ZvGrCKaBnvot_iqCkITzAsJlsNsOteIiyCT58/edit" TargetMode="External"/><Relationship Id="rId9" Type="http://schemas.openxmlformats.org/officeDocument/2006/relationships/hyperlink" Target="https://docs.google.com/document/d/1doGDuain3lxIApXJtGNkRmL4FIkb1EphJ_IGoSFXJQ4/edit" TargetMode="External"/><Relationship Id="rId5" Type="http://schemas.openxmlformats.org/officeDocument/2006/relationships/hyperlink" Target="https://docs.google.com/document/d/1MLBiWLQcWNHzTkK6WuJz3X2Q1hUG8Z1RLys1HNpkLkA/edit" TargetMode="External"/><Relationship Id="rId6" Type="http://schemas.openxmlformats.org/officeDocument/2006/relationships/hyperlink" Target="https://docs.google.com/document/d/1MLBiWLQcWNHzTkK6WuJz3X2Q1hUG8Z1RLys1HNpkLkA/edit" TargetMode="External"/><Relationship Id="rId7" Type="http://schemas.openxmlformats.org/officeDocument/2006/relationships/hyperlink" Target="https://docs.google.com/document/d/1MLBiWLQcWNHzTkK6WuJz3X2Q1hUG8Z1RLys1HNpkLkA/edit" TargetMode="External"/><Relationship Id="rId8" Type="http://schemas.openxmlformats.org/officeDocument/2006/relationships/hyperlink" Target="https://docs.google.com/document/d/1doGDuain3lxIApXJtGNkRmL4FIkb1EphJ_IGoSFXJQ4/edit" TargetMode="External"/><Relationship Id="rId20" Type="http://schemas.openxmlformats.org/officeDocument/2006/relationships/hyperlink" Target="https://docs.google.com/document/d/1MLBiWLQcWNHzTkK6WuJz3X2Q1hUG8Z1RLys1HNpkLkA/edit" TargetMode="External"/><Relationship Id="rId22" Type="http://schemas.openxmlformats.org/officeDocument/2006/relationships/hyperlink" Target="https://learn.microsoft.com/en-us/dynamics365/business-central/design-details-outbound-warehouse-flow" TargetMode="External"/><Relationship Id="rId21" Type="http://schemas.openxmlformats.org/officeDocument/2006/relationships/hyperlink" Target="https://docs.google.com/document/d/1doGDuain3lxIApXJtGNkRmL4FIkb1EphJ_IGoSFXJQ4/edit" TargetMode="External"/><Relationship Id="rId24" Type="http://schemas.openxmlformats.org/officeDocument/2006/relationships/hyperlink" Target="https://docs.google.com/document/d/1MLBiWLQcWNHzTkK6WuJz3X2Q1hUG8Z1RLys1HNpkLkA/edit" TargetMode="External"/><Relationship Id="rId23" Type="http://schemas.openxmlformats.org/officeDocument/2006/relationships/hyperlink" Target="https://learn.microsoft.com/en-us/dynamics365/business-central/sales-how-send-partial-shipments" TargetMode="External"/><Relationship Id="rId26" Type="http://schemas.openxmlformats.org/officeDocument/2006/relationships/hyperlink" Target="https://learn.microsoft.com/en-us/power-automate/process-mining-overview" TargetMode="External"/><Relationship Id="rId25" Type="http://schemas.openxmlformats.org/officeDocument/2006/relationships/hyperlink" Target="https://docs.google.com/document/d/1doGDuain3lxIApXJtGNkRmL4FIkb1EphJ_IGoSFXJQ4/edit" TargetMode="External"/><Relationship Id="rId28" Type="http://schemas.openxmlformats.org/officeDocument/2006/relationships/hyperlink" Target="https://learn.microsoft.com/en-us/power-automate/process-mining-overview" TargetMode="External"/><Relationship Id="rId27" Type="http://schemas.openxmlformats.org/officeDocument/2006/relationships/hyperlink" Target="https://learn.microsoft.com/en-us/power-automate/process-mining-overview" TargetMode="External"/><Relationship Id="rId29" Type="http://schemas.openxmlformats.org/officeDocument/2006/relationships/drawing" Target="../drawings/drawing19.xml"/><Relationship Id="rId11" Type="http://schemas.openxmlformats.org/officeDocument/2006/relationships/hyperlink" Target="https://learn.microsoft.com/en-us/dynamics365/business-central/design-details-outbound-warehouse-flow" TargetMode="External"/><Relationship Id="rId10" Type="http://schemas.openxmlformats.org/officeDocument/2006/relationships/hyperlink" Target="https://docs.google.com/document/d/1doGDuain3lxIApXJtGNkRmL4FIkb1EphJ_IGoSFXJQ4/edit" TargetMode="External"/><Relationship Id="rId13" Type="http://schemas.openxmlformats.org/officeDocument/2006/relationships/hyperlink" Target="https://docs.google.com/document/d/1MLBiWLQcWNHzTkK6WuJz3X2Q1hUG8Z1RLys1HNpkLkA/edit" TargetMode="External"/><Relationship Id="rId12" Type="http://schemas.openxmlformats.org/officeDocument/2006/relationships/hyperlink" Target="https://docs.google.com/document/d/1MLBiWLQcWNHzTkK6WuJz3X2Q1hUG8Z1RLys1HNpkLkA/edit" TargetMode="External"/><Relationship Id="rId15" Type="http://schemas.openxmlformats.org/officeDocument/2006/relationships/hyperlink" Target="https://docs.google.com/document/d/1MLBiWLQcWNHzTkK6WuJz3X2Q1hUG8Z1RLys1HNpkLkA/edit" TargetMode="External"/><Relationship Id="rId14" Type="http://schemas.openxmlformats.org/officeDocument/2006/relationships/hyperlink" Target="https://docs.google.com/document/d/1doGDuain3lxIApXJtGNkRmL4FIkb1EphJ_IGoSFXJQ4/edit" TargetMode="External"/><Relationship Id="rId17" Type="http://schemas.openxmlformats.org/officeDocument/2006/relationships/hyperlink" Target="https://docs.google.com/document/d/1MLBiWLQcWNHzTkK6WuJz3X2Q1hUG8Z1RLys1HNpkLkA/edit" TargetMode="External"/><Relationship Id="rId16" Type="http://schemas.openxmlformats.org/officeDocument/2006/relationships/hyperlink" Target="https://docs.google.com/document/d/1MLBiWLQcWNHzTkK6WuJz3X2Q1hUG8Z1RLys1HNpkLkA/edit" TargetMode="External"/><Relationship Id="rId19" Type="http://schemas.openxmlformats.org/officeDocument/2006/relationships/hyperlink" Target="https://learn.microsoft.com/en-us/dynamics365/business-central/sales-how-send-partial-shipments" TargetMode="External"/><Relationship Id="rId18" Type="http://schemas.openxmlformats.org/officeDocument/2006/relationships/hyperlink" Target="https://docs.google.com/document/d/1doGDuain3lxIApXJtGNkRmL4FIkb1EphJ_IGoSFXJQ4/edit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fHiOhLTJvGO_VKHyitZ8ijc_og8feRt5wAfyi8PC48/edit" TargetMode="External"/><Relationship Id="rId2" Type="http://schemas.openxmlformats.org/officeDocument/2006/relationships/hyperlink" Target="https://docs.google.com/spreadsheets/d/1XfHiOhLTJvGO_VKHyitZ8ijc_og8feRt5wAfyi8PC48/edit" TargetMode="External"/><Relationship Id="rId3" Type="http://schemas.openxmlformats.org/officeDocument/2006/relationships/hyperlink" Target="https://docs.google.com/spreadsheets/d/1XfHiOhLTJvGO_VKHyitZ8ijc_og8feRt5wAfyi8PC48/edit" TargetMode="External"/><Relationship Id="rId4" Type="http://schemas.openxmlformats.org/officeDocument/2006/relationships/hyperlink" Target="https://docs.google.com/spreadsheets/d/1XfHiOhLTJvGO_VKHyitZ8ijc_og8feRt5wAfyi8PC48/edit" TargetMode="External"/><Relationship Id="rId9" Type="http://schemas.openxmlformats.org/officeDocument/2006/relationships/hyperlink" Target="https://docs.google.com/spreadsheets/d/1XfHiOhLTJvGO_VKHyitZ8ijc_og8feRt5wAfyi8PC48/edit" TargetMode="External"/><Relationship Id="rId5" Type="http://schemas.openxmlformats.org/officeDocument/2006/relationships/hyperlink" Target="https://docs.google.com/spreadsheets/d/1XfHiOhLTJvGO_VKHyitZ8ijc_og8feRt5wAfyi8PC48/edit" TargetMode="External"/><Relationship Id="rId6" Type="http://schemas.openxmlformats.org/officeDocument/2006/relationships/hyperlink" Target="https://docs.google.com/spreadsheets/d/1XfHiOhLTJvGO_VKHyitZ8ijc_og8feRt5wAfyi8PC48/edit" TargetMode="External"/><Relationship Id="rId7" Type="http://schemas.openxmlformats.org/officeDocument/2006/relationships/hyperlink" Target="https://docs.google.com/spreadsheets/d/1XfHiOhLTJvGO_VKHyitZ8ijc_og8feRt5wAfyi8PC48/edit" TargetMode="External"/><Relationship Id="rId8" Type="http://schemas.openxmlformats.org/officeDocument/2006/relationships/hyperlink" Target="https://docs.google.com/spreadsheets/d/1XfHiOhLTJvGO_VKHyitZ8ijc_og8feRt5wAfyi8PC48/edit" TargetMode="External"/><Relationship Id="rId31" Type="http://schemas.openxmlformats.org/officeDocument/2006/relationships/hyperlink" Target="https://learn.microsoft.com/en-us/dynamics365/business-central/finance-how-import-payroll-transactions" TargetMode="External"/><Relationship Id="rId30" Type="http://schemas.openxmlformats.org/officeDocument/2006/relationships/hyperlink" Target="https://docs.google.com/spreadsheets/d/1XfHiOhLTJvGO_VKHyitZ8ijc_og8feRt5wAfyi8PC48/edit" TargetMode="External"/><Relationship Id="rId33" Type="http://schemas.openxmlformats.org/officeDocument/2006/relationships/hyperlink" Target="https://docs.google.com/spreadsheets/d/1XfHiOhLTJvGO_VKHyitZ8ijc_og8feRt5wAfyi8PC48/edit" TargetMode="External"/><Relationship Id="rId32" Type="http://schemas.openxmlformats.org/officeDocument/2006/relationships/hyperlink" Target="https://learn.microsoft.com/en-us/dynamics365/business-central/finance-how-import-payroll-transactions" TargetMode="External"/><Relationship Id="rId35" Type="http://schemas.openxmlformats.org/officeDocument/2006/relationships/hyperlink" Target="https://learn.microsoft.com/en-us/power-automate/process-mining-overview" TargetMode="External"/><Relationship Id="rId34" Type="http://schemas.openxmlformats.org/officeDocument/2006/relationships/hyperlink" Target="https://docs.google.com/spreadsheets/d/1XfHiOhLTJvGO_VKHyitZ8ijc_og8feRt5wAfyi8PC48/edit" TargetMode="External"/><Relationship Id="rId36" Type="http://schemas.openxmlformats.org/officeDocument/2006/relationships/drawing" Target="../drawings/drawing20.xml"/><Relationship Id="rId20" Type="http://schemas.openxmlformats.org/officeDocument/2006/relationships/hyperlink" Target="https://docs.google.com/spreadsheets/d/1XfHiOhLTJvGO_VKHyitZ8ijc_og8feRt5wAfyi8PC48/edit" TargetMode="External"/><Relationship Id="rId22" Type="http://schemas.openxmlformats.org/officeDocument/2006/relationships/hyperlink" Target="https://docs.google.com/spreadsheets/d/1XfHiOhLTJvGO_VKHyitZ8ijc_og8feRt5wAfyi8PC48/edit" TargetMode="External"/><Relationship Id="rId21" Type="http://schemas.openxmlformats.org/officeDocument/2006/relationships/hyperlink" Target="https://docs.google.com/spreadsheets/d/1XfHiOhLTJvGO_VKHyitZ8ijc_og8feRt5wAfyi8PC48/edit" TargetMode="External"/><Relationship Id="rId24" Type="http://schemas.openxmlformats.org/officeDocument/2006/relationships/hyperlink" Target="https://docs.google.com/spreadsheets/d/1XfHiOhLTJvGO_VKHyitZ8ijc_og8feRt5wAfyi8PC48/edit" TargetMode="External"/><Relationship Id="rId23" Type="http://schemas.openxmlformats.org/officeDocument/2006/relationships/hyperlink" Target="https://docs.google.com/spreadsheets/d/1XfHiOhLTJvGO_VKHyitZ8ijc_og8feRt5wAfyi8PC48/edit" TargetMode="External"/><Relationship Id="rId26" Type="http://schemas.openxmlformats.org/officeDocument/2006/relationships/hyperlink" Target="https://docs.google.com/spreadsheets/d/1XfHiOhLTJvGO_VKHyitZ8ijc_og8feRt5wAfyi8PC48/edit" TargetMode="External"/><Relationship Id="rId25" Type="http://schemas.openxmlformats.org/officeDocument/2006/relationships/hyperlink" Target="https://docs.google.com/spreadsheets/d/1XfHiOhLTJvGO_VKHyitZ8ijc_og8feRt5wAfyi8PC48/edit" TargetMode="External"/><Relationship Id="rId28" Type="http://schemas.openxmlformats.org/officeDocument/2006/relationships/hyperlink" Target="https://docs.google.com/spreadsheets/d/1XfHiOhLTJvGO_VKHyitZ8ijc_og8feRt5wAfyi8PC48/edit" TargetMode="External"/><Relationship Id="rId27" Type="http://schemas.openxmlformats.org/officeDocument/2006/relationships/hyperlink" Target="https://docs.google.com/spreadsheets/d/1XfHiOhLTJvGO_VKHyitZ8ijc_og8feRt5wAfyi8PC48/edit" TargetMode="External"/><Relationship Id="rId29" Type="http://schemas.openxmlformats.org/officeDocument/2006/relationships/hyperlink" Target="https://docs.google.com/spreadsheets/d/1XfHiOhLTJvGO_VKHyitZ8ijc_og8feRt5wAfyi8PC48/edit" TargetMode="External"/><Relationship Id="rId11" Type="http://schemas.openxmlformats.org/officeDocument/2006/relationships/hyperlink" Target="https://docs.google.com/spreadsheets/d/1XfHiOhLTJvGO_VKHyitZ8ijc_og8feRt5wAfyi8PC48/edit" TargetMode="External"/><Relationship Id="rId10" Type="http://schemas.openxmlformats.org/officeDocument/2006/relationships/hyperlink" Target="https://docs.google.com/spreadsheets/d/1XfHiOhLTJvGO_VKHyitZ8ijc_og8feRt5wAfyi8PC48/edit" TargetMode="External"/><Relationship Id="rId13" Type="http://schemas.openxmlformats.org/officeDocument/2006/relationships/hyperlink" Target="https://docs.google.com/spreadsheets/d/1XfHiOhLTJvGO_VKHyitZ8ijc_og8feRt5wAfyi8PC48/edit" TargetMode="External"/><Relationship Id="rId12" Type="http://schemas.openxmlformats.org/officeDocument/2006/relationships/hyperlink" Target="https://docs.google.com/spreadsheets/d/1XfHiOhLTJvGO_VKHyitZ8ijc_og8feRt5wAfyi8PC48/edit" TargetMode="External"/><Relationship Id="rId15" Type="http://schemas.openxmlformats.org/officeDocument/2006/relationships/hyperlink" Target="https://docs.google.com/spreadsheets/d/1XfHiOhLTJvGO_VKHyitZ8ijc_og8feRt5wAfyi8PC48/edit" TargetMode="External"/><Relationship Id="rId14" Type="http://schemas.openxmlformats.org/officeDocument/2006/relationships/hyperlink" Target="https://docs.google.com/spreadsheets/d/1XfHiOhLTJvGO_VKHyitZ8ijc_og8feRt5wAfyi8PC48/edit" TargetMode="External"/><Relationship Id="rId17" Type="http://schemas.openxmlformats.org/officeDocument/2006/relationships/hyperlink" Target="https://docs.google.com/spreadsheets/d/1XfHiOhLTJvGO_VKHyitZ8ijc_og8feRt5wAfyi8PC48/edit" TargetMode="External"/><Relationship Id="rId16" Type="http://schemas.openxmlformats.org/officeDocument/2006/relationships/hyperlink" Target="https://docs.google.com/spreadsheets/d/1XfHiOhLTJvGO_VKHyitZ8ijc_og8feRt5wAfyi8PC48/edit" TargetMode="External"/><Relationship Id="rId19" Type="http://schemas.openxmlformats.org/officeDocument/2006/relationships/hyperlink" Target="https://docs.google.com/spreadsheets/d/1XfHiOhLTJvGO_VKHyitZ8ijc_og8feRt5wAfyi8PC48/edit" TargetMode="External"/><Relationship Id="rId18" Type="http://schemas.openxmlformats.org/officeDocument/2006/relationships/hyperlink" Target="https://docs.google.com/spreadsheets/d/1XfHiOhLTJvGO_VKHyitZ8ijc_og8feRt5wAfyi8PC48/edit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fHiOhLTJvGO_VKHyitZ8ijc_og8feRt5wAfyi8PC48/edit" TargetMode="External"/><Relationship Id="rId2" Type="http://schemas.openxmlformats.org/officeDocument/2006/relationships/hyperlink" Target="https://docs.google.com/spreadsheets/d/1XfHiOhLTJvGO_VKHyitZ8ijc_og8feRt5wAfyi8PC48/edit" TargetMode="External"/><Relationship Id="rId3" Type="http://schemas.openxmlformats.org/officeDocument/2006/relationships/hyperlink" Target="https://docs.google.com/spreadsheets/d/1XfHiOhLTJvGO_VKHyitZ8ijc_og8feRt5wAfyi8PC48/edit" TargetMode="External"/><Relationship Id="rId4" Type="http://schemas.openxmlformats.org/officeDocument/2006/relationships/hyperlink" Target="https://docs.google.com/spreadsheets/d/1XfHiOhLTJvGO_VKHyitZ8ijc_og8feRt5wAfyi8PC48/edit" TargetMode="External"/><Relationship Id="rId9" Type="http://schemas.openxmlformats.org/officeDocument/2006/relationships/hyperlink" Target="https://docs.google.com/spreadsheets/d/1XfHiOhLTJvGO_VKHyitZ8ijc_og8feRt5wAfyi8PC48/edit" TargetMode="External"/><Relationship Id="rId5" Type="http://schemas.openxmlformats.org/officeDocument/2006/relationships/hyperlink" Target="https://docs.google.com/spreadsheets/d/1XfHiOhLTJvGO_VKHyitZ8ijc_og8feRt5wAfyi8PC48/edit" TargetMode="External"/><Relationship Id="rId6" Type="http://schemas.openxmlformats.org/officeDocument/2006/relationships/hyperlink" Target="https://docs.google.com/spreadsheets/d/1XfHiOhLTJvGO_VKHyitZ8ijc_og8feRt5wAfyi8PC48/edit" TargetMode="External"/><Relationship Id="rId7" Type="http://schemas.openxmlformats.org/officeDocument/2006/relationships/hyperlink" Target="https://docs.google.com/spreadsheets/d/1XfHiOhLTJvGO_VKHyitZ8ijc_og8feRt5wAfyi8PC48/edit" TargetMode="External"/><Relationship Id="rId8" Type="http://schemas.openxmlformats.org/officeDocument/2006/relationships/hyperlink" Target="https://docs.google.com/spreadsheets/d/1XfHiOhLTJvGO_VKHyitZ8ijc_og8feRt5wAfyi8PC48/edit" TargetMode="External"/><Relationship Id="rId30" Type="http://schemas.openxmlformats.org/officeDocument/2006/relationships/drawing" Target="../drawings/drawing22.xml"/><Relationship Id="rId20" Type="http://schemas.openxmlformats.org/officeDocument/2006/relationships/hyperlink" Target="https://docs.google.com/spreadsheets/d/1XfHiOhLTJvGO_VKHyitZ8ijc_og8feRt5wAfyi8PC48/edit" TargetMode="External"/><Relationship Id="rId22" Type="http://schemas.openxmlformats.org/officeDocument/2006/relationships/hyperlink" Target="https://docs.google.com/spreadsheets/d/1XfHiOhLTJvGO_VKHyitZ8ijc_og8feRt5wAfyi8PC48/edit" TargetMode="External"/><Relationship Id="rId21" Type="http://schemas.openxmlformats.org/officeDocument/2006/relationships/hyperlink" Target="https://docs.google.com/spreadsheets/d/1XfHiOhLTJvGO_VKHyitZ8ijc_og8feRt5wAfyi8PC48/edit" TargetMode="External"/><Relationship Id="rId24" Type="http://schemas.openxmlformats.org/officeDocument/2006/relationships/hyperlink" Target="https://learn.microsoft.com/en-us/dynamics365/business-central/finance-how-import-payroll-transactions" TargetMode="External"/><Relationship Id="rId23" Type="http://schemas.openxmlformats.org/officeDocument/2006/relationships/hyperlink" Target="https://learn.microsoft.com/en-us/dynamics365/business-central/finance-how-import-payroll-transactions" TargetMode="External"/><Relationship Id="rId26" Type="http://schemas.openxmlformats.org/officeDocument/2006/relationships/hyperlink" Target="https://docs.google.com/spreadsheets/d/1XfHiOhLTJvGO_VKHyitZ8ijc_og8feRt5wAfyi8PC48/edit" TargetMode="External"/><Relationship Id="rId25" Type="http://schemas.openxmlformats.org/officeDocument/2006/relationships/hyperlink" Target="https://docs.google.com/spreadsheets/d/1XfHiOhLTJvGO_VKHyitZ8ijc_og8feRt5wAfyi8PC48/edit" TargetMode="External"/><Relationship Id="rId28" Type="http://schemas.openxmlformats.org/officeDocument/2006/relationships/hyperlink" Target="https://learn.microsoft.com/en-us/power-automate/process-mining-processes-and-data" TargetMode="External"/><Relationship Id="rId27" Type="http://schemas.openxmlformats.org/officeDocument/2006/relationships/hyperlink" Target="https://learn.microsoft.com/en-us/power-automate/process-mining-overview" TargetMode="External"/><Relationship Id="rId29" Type="http://schemas.openxmlformats.org/officeDocument/2006/relationships/hyperlink" Target="https://learn.microsoft.com/en-us/power-automate/process-mining-overview" TargetMode="External"/><Relationship Id="rId11" Type="http://schemas.openxmlformats.org/officeDocument/2006/relationships/hyperlink" Target="https://docs.google.com/spreadsheets/d/1XfHiOhLTJvGO_VKHyitZ8ijc_og8feRt5wAfyi8PC48/edit" TargetMode="External"/><Relationship Id="rId10" Type="http://schemas.openxmlformats.org/officeDocument/2006/relationships/hyperlink" Target="https://docs.google.com/spreadsheets/d/1XfHiOhLTJvGO_VKHyitZ8ijc_og8feRt5wAfyi8PC48/edit" TargetMode="External"/><Relationship Id="rId13" Type="http://schemas.openxmlformats.org/officeDocument/2006/relationships/hyperlink" Target="https://docs.google.com/spreadsheets/d/1XfHiOhLTJvGO_VKHyitZ8ijc_og8feRt5wAfyi8PC48/edit" TargetMode="External"/><Relationship Id="rId12" Type="http://schemas.openxmlformats.org/officeDocument/2006/relationships/hyperlink" Target="https://docs.google.com/spreadsheets/d/1XfHiOhLTJvGO_VKHyitZ8ijc_og8feRt5wAfyi8PC48/edit" TargetMode="External"/><Relationship Id="rId15" Type="http://schemas.openxmlformats.org/officeDocument/2006/relationships/hyperlink" Target="https://docs.google.com/spreadsheets/d/1XfHiOhLTJvGO_VKHyitZ8ijc_og8feRt5wAfyi8PC48/edit" TargetMode="External"/><Relationship Id="rId14" Type="http://schemas.openxmlformats.org/officeDocument/2006/relationships/hyperlink" Target="https://docs.google.com/spreadsheets/d/1XfHiOhLTJvGO_VKHyitZ8ijc_og8feRt5wAfyi8PC48/edit" TargetMode="External"/><Relationship Id="rId17" Type="http://schemas.openxmlformats.org/officeDocument/2006/relationships/hyperlink" Target="https://docs.google.com/spreadsheets/d/1XfHiOhLTJvGO_VKHyitZ8ijc_og8feRt5wAfyi8PC48/edit" TargetMode="External"/><Relationship Id="rId16" Type="http://schemas.openxmlformats.org/officeDocument/2006/relationships/hyperlink" Target="https://docs.google.com/spreadsheets/d/1XfHiOhLTJvGO_VKHyitZ8ijc_og8feRt5wAfyi8PC48/edit" TargetMode="External"/><Relationship Id="rId19" Type="http://schemas.openxmlformats.org/officeDocument/2006/relationships/hyperlink" Target="https://docs.google.com/spreadsheets/d/1XfHiOhLTJvGO_VKHyitZ8ijc_og8feRt5wAfyi8PC48/edit" TargetMode="External"/><Relationship Id="rId18" Type="http://schemas.openxmlformats.org/officeDocument/2006/relationships/hyperlink" Target="https://docs.google.com/spreadsheets/d/1XfHiOhLTJvGO_VKHyitZ8ijc_og8feRt5wAfyi8PC48/edit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sC-rDy7XjB-_T2TIvw1F7HsHZ3bJwqTPLn67xD0pMM/edit" TargetMode="External"/><Relationship Id="rId42" Type="http://schemas.openxmlformats.org/officeDocument/2006/relationships/hyperlink" Target="https://docs.google.com/document/d/1JZeibH6jDWNLybYCgJMq-fEYwidL32H4_BTkQFD0Ozw/edit" TargetMode="External"/><Relationship Id="rId41" Type="http://schemas.openxmlformats.org/officeDocument/2006/relationships/hyperlink" Target="https://docs.google.com/spreadsheets/d/1VsC-rDy7XjB-_T2TIvw1F7HsHZ3bJwqTPLn67xD0pMM/edit" TargetMode="External"/><Relationship Id="rId43" Type="http://schemas.openxmlformats.org/officeDocument/2006/relationships/drawing" Target="../drawings/drawing23.xml"/><Relationship Id="rId1" Type="http://schemas.openxmlformats.org/officeDocument/2006/relationships/hyperlink" Target="https://learn.microsoft.com/en-us/dynamics365/business-central/production-about-planning-functionality" TargetMode="External"/><Relationship Id="rId2" Type="http://schemas.openxmlformats.org/officeDocument/2006/relationships/hyperlink" Target="https://learn.microsoft.com/en-us/dynamics365/business-central/production-about-planning-functionality" TargetMode="External"/><Relationship Id="rId3" Type="http://schemas.openxmlformats.org/officeDocument/2006/relationships/hyperlink" Target="https://docs.google.com/document/d/1JZeibH6jDWNLybYCgJMq-fEYwidL32H4_BTkQFD0Ozw/edit" TargetMode="External"/><Relationship Id="rId4" Type="http://schemas.openxmlformats.org/officeDocument/2006/relationships/hyperlink" Target="https://learn.microsoft.com/en-us/dynamics365/business-central/production-configure-production-processes" TargetMode="External"/><Relationship Id="rId9" Type="http://schemas.openxmlformats.org/officeDocument/2006/relationships/hyperlink" Target="https://learn.microsoft.com/en-us/dynamics365/business-central/production-about-production-orders" TargetMode="External"/><Relationship Id="rId5" Type="http://schemas.openxmlformats.org/officeDocument/2006/relationships/hyperlink" Target="https://learn.microsoft.com/en-us/dynamics365/business-central/production-configure-production-processes" TargetMode="External"/><Relationship Id="rId6" Type="http://schemas.openxmlformats.org/officeDocument/2006/relationships/hyperlink" Target="https://docs.google.com/spreadsheets/d/1VsC-rDy7XjB-_T2TIvw1F7HsHZ3bJwqTPLn67xD0pMM/edit" TargetMode="External"/><Relationship Id="rId7" Type="http://schemas.openxmlformats.org/officeDocument/2006/relationships/hyperlink" Target="https://learn.microsoft.com/en-us/dynamics365/business-central/production-how-to-set-up-work-and-machine-centers" TargetMode="External"/><Relationship Id="rId8" Type="http://schemas.openxmlformats.org/officeDocument/2006/relationships/hyperlink" Target="https://learn.microsoft.com/en-us/dynamics365/business-central/production-how-to-view-the-load-on-work-centers" TargetMode="External"/><Relationship Id="rId31" Type="http://schemas.openxmlformats.org/officeDocument/2006/relationships/hyperlink" Target="https://learn.microsoft.com/en-us/dynamics365/business-central/production-manage-manufacturing" TargetMode="External"/><Relationship Id="rId30" Type="http://schemas.openxmlformats.org/officeDocument/2006/relationships/hyperlink" Target="https://learn.microsoft.com/en-us/dynamics365/business-central/production-about-production-orders" TargetMode="External"/><Relationship Id="rId33" Type="http://schemas.openxmlformats.org/officeDocument/2006/relationships/hyperlink" Target="https://learn.microsoft.com/en-us/dynamics365/business-central/production-manage-manufacturing" TargetMode="External"/><Relationship Id="rId32" Type="http://schemas.openxmlformats.org/officeDocument/2006/relationships/hyperlink" Target="https://learn.microsoft.com/en-us/dynamics365/business-central/production-manage-manufacturing" TargetMode="External"/><Relationship Id="rId35" Type="http://schemas.openxmlformats.org/officeDocument/2006/relationships/hyperlink" Target="https://learn.microsoft.com/en-us/dynamics365/business-central/production-manage-manufacturing" TargetMode="External"/><Relationship Id="rId34" Type="http://schemas.openxmlformats.org/officeDocument/2006/relationships/hyperlink" Target="https://docs.google.com/document/d/1JZeibH6jDWNLybYCgJMq-fEYwidL32H4_BTkQFD0Ozw/edit" TargetMode="External"/><Relationship Id="rId37" Type="http://schemas.openxmlformats.org/officeDocument/2006/relationships/hyperlink" Target="https://docs.google.com/spreadsheets/d/1VsC-rDy7XjB-_T2TIvw1F7HsHZ3bJwqTPLn67xD0pMM/edit" TargetMode="External"/><Relationship Id="rId36" Type="http://schemas.openxmlformats.org/officeDocument/2006/relationships/hyperlink" Target="https://docs.google.com/spreadsheets/d/1VsC-rDy7XjB-_T2TIvw1F7HsHZ3bJwqTPLn67xD0pMM/edit" TargetMode="External"/><Relationship Id="rId39" Type="http://schemas.openxmlformats.org/officeDocument/2006/relationships/hyperlink" Target="https://docs.google.com/spreadsheets/d/1VsC-rDy7XjB-_T2TIvw1F7HsHZ3bJwqTPLn67xD0pMM/edit" TargetMode="External"/><Relationship Id="rId38" Type="http://schemas.openxmlformats.org/officeDocument/2006/relationships/hyperlink" Target="https://docs.google.com/document/d/1JZeibH6jDWNLybYCgJMq-fEYwidL32H4_BTkQFD0Ozw/edit" TargetMode="External"/><Relationship Id="rId20" Type="http://schemas.openxmlformats.org/officeDocument/2006/relationships/hyperlink" Target="https://learn.microsoft.com/en-us/dynamics365/business-central/qms-overview" TargetMode="External"/><Relationship Id="rId22" Type="http://schemas.openxmlformats.org/officeDocument/2006/relationships/hyperlink" Target="https://learn.microsoft.com/en-us/dynamics365/business-central/qms-overview" TargetMode="External"/><Relationship Id="rId21" Type="http://schemas.openxmlformats.org/officeDocument/2006/relationships/hyperlink" Target="https://learn.microsoft.com/en-us/dynamics365/business-central/qms-overview" TargetMode="External"/><Relationship Id="rId24" Type="http://schemas.openxmlformats.org/officeDocument/2006/relationships/hyperlink" Target="https://learn.microsoft.com/en-us/dynamics365/business-central/production-manage-manufacturing" TargetMode="External"/><Relationship Id="rId23" Type="http://schemas.openxmlformats.org/officeDocument/2006/relationships/hyperlink" Target="https://learn.microsoft.com/en-us/dynamics365/business-central/production-manage-manufacturing" TargetMode="External"/><Relationship Id="rId26" Type="http://schemas.openxmlformats.org/officeDocument/2006/relationships/hyperlink" Target="https://docs.google.com/spreadsheets/d/1VsC-rDy7XjB-_T2TIvw1F7HsHZ3bJwqTPLn67xD0pMM/edit" TargetMode="External"/><Relationship Id="rId25" Type="http://schemas.openxmlformats.org/officeDocument/2006/relationships/hyperlink" Target="https://learn.microsoft.com/en-us/dynamics365/business-central/production-about-production-orders" TargetMode="External"/><Relationship Id="rId28" Type="http://schemas.openxmlformats.org/officeDocument/2006/relationships/hyperlink" Target="https://learn.microsoft.com/en-us/dynamics365/business-central/production-manage-manufacturing" TargetMode="External"/><Relationship Id="rId27" Type="http://schemas.openxmlformats.org/officeDocument/2006/relationships/hyperlink" Target="https://docs.google.com/spreadsheets/d/1VsC-rDy7XjB-_T2TIvw1F7HsHZ3bJwqTPLn67xD0pMM/edit" TargetMode="External"/><Relationship Id="rId29" Type="http://schemas.openxmlformats.org/officeDocument/2006/relationships/hyperlink" Target="https://docs.google.com/spreadsheets/d/1VsC-rDy7XjB-_T2TIvw1F7HsHZ3bJwqTPLn67xD0pMM/edit" TargetMode="External"/><Relationship Id="rId11" Type="http://schemas.openxmlformats.org/officeDocument/2006/relationships/hyperlink" Target="https://learn.microsoft.com/en-us/dynamics365/business-central/production-about-production-orders" TargetMode="External"/><Relationship Id="rId10" Type="http://schemas.openxmlformats.org/officeDocument/2006/relationships/hyperlink" Target="https://learn.microsoft.com/en-us/dynamics365/business-central/production-about-production-orders" TargetMode="External"/><Relationship Id="rId13" Type="http://schemas.openxmlformats.org/officeDocument/2006/relationships/hyperlink" Target="https://learn.microsoft.com/en-us/dynamics365/business-central/production-about-production-orders" TargetMode="External"/><Relationship Id="rId12" Type="http://schemas.openxmlformats.org/officeDocument/2006/relationships/hyperlink" Target="https://learn.microsoft.com/en-us/dynamics365/business-central/production-manage-manufacturing" TargetMode="External"/><Relationship Id="rId15" Type="http://schemas.openxmlformats.org/officeDocument/2006/relationships/hyperlink" Target="https://learn.microsoft.com/en-us/dynamics365/business-central/production-how-to-set-up-work-and-machine-centers" TargetMode="External"/><Relationship Id="rId14" Type="http://schemas.openxmlformats.org/officeDocument/2006/relationships/hyperlink" Target="https://learn.microsoft.com/en-us/dynamics365/business-central/production-about-production-orders" TargetMode="External"/><Relationship Id="rId17" Type="http://schemas.openxmlformats.org/officeDocument/2006/relationships/hyperlink" Target="https://docs.google.com/spreadsheets/d/1VsC-rDy7XjB-_T2TIvw1F7HsHZ3bJwqTPLn67xD0pMM/edit" TargetMode="External"/><Relationship Id="rId16" Type="http://schemas.openxmlformats.org/officeDocument/2006/relationships/hyperlink" Target="https://learn.microsoft.com/en-us/dynamics365/business-central/production-about-production-orders" TargetMode="External"/><Relationship Id="rId19" Type="http://schemas.openxmlformats.org/officeDocument/2006/relationships/hyperlink" Target="https://docs.google.com/document/d/1JZeibH6jDWNLybYCgJMq-fEYwidL32H4_BTkQFD0Ozw/edit" TargetMode="External"/><Relationship Id="rId18" Type="http://schemas.openxmlformats.org/officeDocument/2006/relationships/hyperlink" Target="https://docs.google.com/spreadsheets/d/1VsC-rDy7XjB-_T2TIvw1F7HsHZ3bJwqTPLn67xD0pMM/edit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ZeibH6jDWNLybYCgJMq-fEYwidL32H4_BTkQFD0Ozw/edit" TargetMode="External"/><Relationship Id="rId2" Type="http://schemas.openxmlformats.org/officeDocument/2006/relationships/hyperlink" Target="https://learn.microsoft.com/en-us/dynamics365/business-central/production-about-planning-functionality" TargetMode="External"/><Relationship Id="rId3" Type="http://schemas.openxmlformats.org/officeDocument/2006/relationships/hyperlink" Target="https://learn.microsoft.com/en-us/dynamics365/business-central/production-configure-production-processes" TargetMode="External"/><Relationship Id="rId4" Type="http://schemas.openxmlformats.org/officeDocument/2006/relationships/hyperlink" Target="https://learn.microsoft.com/en-us/dynamics365/business-central/production-configure-production-processes" TargetMode="External"/><Relationship Id="rId9" Type="http://schemas.openxmlformats.org/officeDocument/2006/relationships/hyperlink" Target="https://learn.microsoft.com/en-us/dynamics365/business-central/production-how-to-set-up-work-and-machine-centers" TargetMode="External"/><Relationship Id="rId5" Type="http://schemas.openxmlformats.org/officeDocument/2006/relationships/hyperlink" Target="https://learn.microsoft.com/en-us/dynamics365/business-central/qms-overview" TargetMode="External"/><Relationship Id="rId6" Type="http://schemas.openxmlformats.org/officeDocument/2006/relationships/hyperlink" Target="https://learn.microsoft.com/en-us/dynamics365/business-central/production-how-to-set-up-work-and-machine-centers" TargetMode="External"/><Relationship Id="rId7" Type="http://schemas.openxmlformats.org/officeDocument/2006/relationships/hyperlink" Target="https://learn.microsoft.com/en-us/dynamics365/business-central/production-about-production-orders" TargetMode="External"/><Relationship Id="rId8" Type="http://schemas.openxmlformats.org/officeDocument/2006/relationships/hyperlink" Target="https://learn.microsoft.com/en-us/dynamics365/business-central/production-manage-manufacturing" TargetMode="External"/><Relationship Id="rId31" Type="http://schemas.openxmlformats.org/officeDocument/2006/relationships/hyperlink" Target="https://learn.microsoft.com/en-us/power-automate/process-mining-overview" TargetMode="External"/><Relationship Id="rId30" Type="http://schemas.openxmlformats.org/officeDocument/2006/relationships/hyperlink" Target="https://learn.microsoft.com/en-us/power-automate/process-mining-overview" TargetMode="External"/><Relationship Id="rId33" Type="http://schemas.openxmlformats.org/officeDocument/2006/relationships/drawing" Target="../drawings/drawing25.xml"/><Relationship Id="rId32" Type="http://schemas.openxmlformats.org/officeDocument/2006/relationships/hyperlink" Target="https://learn.microsoft.com/en-us/power-automate/process-mining-overview" TargetMode="External"/><Relationship Id="rId20" Type="http://schemas.openxmlformats.org/officeDocument/2006/relationships/hyperlink" Target="https://learn.microsoft.com/en-us/dynamics365/business-central/production-manage-manufacturing" TargetMode="External"/><Relationship Id="rId22" Type="http://schemas.openxmlformats.org/officeDocument/2006/relationships/hyperlink" Target="https://learn.microsoft.com/en-us/dynamics365/business-central/finance-about-finished-production-order-costs" TargetMode="External"/><Relationship Id="rId21" Type="http://schemas.openxmlformats.org/officeDocument/2006/relationships/hyperlink" Target="https://learn.microsoft.com/en-us/dynamics365/business-central/finance-about-finished-production-order-costs" TargetMode="External"/><Relationship Id="rId24" Type="http://schemas.openxmlformats.org/officeDocument/2006/relationships/hyperlink" Target="https://docs.google.com/document/d/1JZeibH6jDWNLybYCgJMq-fEYwidL32H4_BTkQFD0Ozw/edit" TargetMode="External"/><Relationship Id="rId23" Type="http://schemas.openxmlformats.org/officeDocument/2006/relationships/hyperlink" Target="https://learn.microsoft.com/en-us/dynamics365/business-central/finance-about-finished-production-order-costs" TargetMode="External"/><Relationship Id="rId26" Type="http://schemas.openxmlformats.org/officeDocument/2006/relationships/hyperlink" Target="https://docs.google.com/spreadsheets/d/1VsC-rDy7XjB-_T2TIvw1F7HsHZ3bJwqTPLn67xD0pMM/edit" TargetMode="External"/><Relationship Id="rId25" Type="http://schemas.openxmlformats.org/officeDocument/2006/relationships/hyperlink" Target="https://docs.google.com/spreadsheets/d/1VsC-rDy7XjB-_T2TIvw1F7HsHZ3bJwqTPLn67xD0pMM/edit" TargetMode="External"/><Relationship Id="rId28" Type="http://schemas.openxmlformats.org/officeDocument/2006/relationships/hyperlink" Target="https://docs.google.com/spreadsheets/d/1VsC-rDy7XjB-_T2TIvw1F7HsHZ3bJwqTPLn67xD0pMM/edit" TargetMode="External"/><Relationship Id="rId27" Type="http://schemas.openxmlformats.org/officeDocument/2006/relationships/hyperlink" Target="https://docs.google.com/document/d/1JZeibH6jDWNLybYCgJMq-fEYwidL32H4_BTkQFD0Ozw/edit" TargetMode="External"/><Relationship Id="rId29" Type="http://schemas.openxmlformats.org/officeDocument/2006/relationships/hyperlink" Target="https://docs.google.com/spreadsheets/d/1VsC-rDy7XjB-_T2TIvw1F7HsHZ3bJwqTPLn67xD0pMM/edit" TargetMode="External"/><Relationship Id="rId11" Type="http://schemas.openxmlformats.org/officeDocument/2006/relationships/hyperlink" Target="https://learn.microsoft.com/en-us/dynamics365/business-central/production-about-production-orders" TargetMode="External"/><Relationship Id="rId10" Type="http://schemas.openxmlformats.org/officeDocument/2006/relationships/hyperlink" Target="https://learn.microsoft.com/en-us/dynamics365/business-central/production-manage-manufacturing" TargetMode="External"/><Relationship Id="rId13" Type="http://schemas.openxmlformats.org/officeDocument/2006/relationships/hyperlink" Target="https://docs.google.com/document/d/1JZeibH6jDWNLybYCgJMq-fEYwidL32H4_BTkQFD0Ozw/edit" TargetMode="External"/><Relationship Id="rId12" Type="http://schemas.openxmlformats.org/officeDocument/2006/relationships/hyperlink" Target="https://docs.google.com/spreadsheets/d/1VsC-rDy7XjB-_T2TIvw1F7HsHZ3bJwqTPLn67xD0pMM/edit" TargetMode="External"/><Relationship Id="rId15" Type="http://schemas.openxmlformats.org/officeDocument/2006/relationships/hyperlink" Target="https://learn.microsoft.com/en-us/dynamics365/business-central/qms-overview" TargetMode="External"/><Relationship Id="rId14" Type="http://schemas.openxmlformats.org/officeDocument/2006/relationships/hyperlink" Target="https://learn.microsoft.com/en-us/dynamics365/business-central/qms-overview" TargetMode="External"/><Relationship Id="rId17" Type="http://schemas.openxmlformats.org/officeDocument/2006/relationships/hyperlink" Target="https://docs.google.com/document/d/1JZeibH6jDWNLybYCgJMq-fEYwidL32H4_BTkQFD0Ozw/edit" TargetMode="External"/><Relationship Id="rId16" Type="http://schemas.openxmlformats.org/officeDocument/2006/relationships/hyperlink" Target="https://learn.microsoft.com/en-us/dynamics365/business-central/production-manage-manufacturing" TargetMode="External"/><Relationship Id="rId19" Type="http://schemas.openxmlformats.org/officeDocument/2006/relationships/hyperlink" Target="https://learn.microsoft.com/en-us/dynamics365/business-central/qms-overview" TargetMode="External"/><Relationship Id="rId18" Type="http://schemas.openxmlformats.org/officeDocument/2006/relationships/hyperlink" Target="https://docs.google.com/spreadsheets/d/1VsC-rDy7XjB-_T2TIvw1F7HsHZ3bJwqTPLn67xD0pMM/edit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power-automate/process-mining-processes-and-data" TargetMode="External"/><Relationship Id="rId2" Type="http://schemas.openxmlformats.org/officeDocument/2006/relationships/hyperlink" Target="https://learn.microsoft.com/en-us/power-automate/process-mining-normalized-import-authoring-guide" TargetMode="External"/><Relationship Id="rId3" Type="http://schemas.openxmlformats.org/officeDocument/2006/relationships/hyperlink" Target="https://learn.microsoft.com/en-us/power-automate/process-mining-processes-and-data" TargetMode="External"/><Relationship Id="rId4" Type="http://schemas.openxmlformats.org/officeDocument/2006/relationships/hyperlink" Target="https://learn.microsoft.com/en-us/power-automate/process-mining-processes-and-data" TargetMode="External"/><Relationship Id="rId9" Type="http://schemas.openxmlformats.org/officeDocument/2006/relationships/hyperlink" Target="https://learn.microsoft.com/en-us/power-automate/process-mining-normalized-import-authoring-guide" TargetMode="External"/><Relationship Id="rId5" Type="http://schemas.openxmlformats.org/officeDocument/2006/relationships/hyperlink" Target="https://learn.microsoft.com/en-us/power-automate/process-mining-processes-and-data" TargetMode="External"/><Relationship Id="rId6" Type="http://schemas.openxmlformats.org/officeDocument/2006/relationships/hyperlink" Target="https://learn.microsoft.com/en-us/power-automate/process-mining-processes-and-data" TargetMode="External"/><Relationship Id="rId7" Type="http://schemas.openxmlformats.org/officeDocument/2006/relationships/hyperlink" Target="https://learn.microsoft.com/en-us/dynamics365/business-central/dev-itpro/webservices/web-service-telemetry" TargetMode="External"/><Relationship Id="rId8" Type="http://schemas.openxmlformats.org/officeDocument/2006/relationships/hyperlink" Target="https://learn.microsoft.com/en-us/power-automate/process-mining-normalized-import-authoring-guide" TargetMode="External"/><Relationship Id="rId31" Type="http://schemas.openxmlformats.org/officeDocument/2006/relationships/hyperlink" Target="https://learn.microsoft.com/en-us/dynamics365/business-central/dev-itpro/api-reference/v2.0/" TargetMode="External"/><Relationship Id="rId30" Type="http://schemas.openxmlformats.org/officeDocument/2006/relationships/hyperlink" Target="https://learn.microsoft.com/en-us/dynamics365/business-central/dev-itpro/webservices/web-service-telemetry" TargetMode="External"/><Relationship Id="rId33" Type="http://schemas.openxmlformats.org/officeDocument/2006/relationships/hyperlink" Target="https://learn.microsoft.com/en-us/dynamics365/business-central/dev-itpro/api-reference/v2.0/" TargetMode="External"/><Relationship Id="rId32" Type="http://schemas.openxmlformats.org/officeDocument/2006/relationships/hyperlink" Target="https://learn.microsoft.com/en-us/dynamics365/business-central/dev-itpro/api-reference/v2.0/" TargetMode="External"/><Relationship Id="rId34" Type="http://schemas.openxmlformats.org/officeDocument/2006/relationships/drawing" Target="../drawings/drawing27.xml"/><Relationship Id="rId20" Type="http://schemas.openxmlformats.org/officeDocument/2006/relationships/hyperlink" Target="https://learn.microsoft.com/en-us/dynamics365/business-central/across-setup-auditing" TargetMode="External"/><Relationship Id="rId22" Type="http://schemas.openxmlformats.org/officeDocument/2006/relationships/hyperlink" Target="https://learn.microsoft.com/en-us/power-automate/process-mining-normalized-import-authoring-guide" TargetMode="External"/><Relationship Id="rId21" Type="http://schemas.openxmlformats.org/officeDocument/2006/relationships/hyperlink" Target="https://learn.microsoft.com/en-us/dynamics365/business-central/across-setup-auditing" TargetMode="External"/><Relationship Id="rId24" Type="http://schemas.openxmlformats.org/officeDocument/2006/relationships/hyperlink" Target="https://learn.microsoft.com/en-us/power-automate/process-mining-processes-and-data" TargetMode="External"/><Relationship Id="rId23" Type="http://schemas.openxmlformats.org/officeDocument/2006/relationships/hyperlink" Target="https://learn.microsoft.com/en-us/power-automate/process-mining-normalized-import-authoring-guide" TargetMode="External"/><Relationship Id="rId26" Type="http://schemas.openxmlformats.org/officeDocument/2006/relationships/hyperlink" Target="https://learn.microsoft.com/en-us/power-automate/process-mining-normalized-import-authoring-guide" TargetMode="External"/><Relationship Id="rId25" Type="http://schemas.openxmlformats.org/officeDocument/2006/relationships/hyperlink" Target="https://learn.microsoft.com/en-us/power-automate/process-mining-normalized-import-authoring-guide" TargetMode="External"/><Relationship Id="rId28" Type="http://schemas.openxmlformats.org/officeDocument/2006/relationships/hyperlink" Target="https://learn.microsoft.com/en-us/power-automate/process-mining-processes-and-data" TargetMode="External"/><Relationship Id="rId27" Type="http://schemas.openxmlformats.org/officeDocument/2006/relationships/hyperlink" Target="https://learn.microsoft.com/en-us/power-automate/process-mining-normalized-import-authoring-guide" TargetMode="External"/><Relationship Id="rId29" Type="http://schemas.openxmlformats.org/officeDocument/2006/relationships/hyperlink" Target="https://learn.microsoft.com/en-us/dynamics365/business-central/across-setup-auditing" TargetMode="External"/><Relationship Id="rId11" Type="http://schemas.openxmlformats.org/officeDocument/2006/relationships/hyperlink" Target="https://learn.microsoft.com/en-us/power-automate/process-mining-normalized-import-authoring-guide" TargetMode="External"/><Relationship Id="rId10" Type="http://schemas.openxmlformats.org/officeDocument/2006/relationships/hyperlink" Target="https://learn.microsoft.com/en-us/power-automate/process-mining-normalized-import-authoring-guide" TargetMode="External"/><Relationship Id="rId13" Type="http://schemas.openxmlformats.org/officeDocument/2006/relationships/hyperlink" Target="https://learn.microsoft.com/en-us/power-automate/process-mining-processes-and-data" TargetMode="External"/><Relationship Id="rId12" Type="http://schemas.openxmlformats.org/officeDocument/2006/relationships/hyperlink" Target="https://learn.microsoft.com/en-us/dynamics365/business-central/dev-itpro/webservices/web-service-telemetry" TargetMode="External"/><Relationship Id="rId15" Type="http://schemas.openxmlformats.org/officeDocument/2006/relationships/hyperlink" Target="https://learn.microsoft.com/en-us/power-automate/process-mining-normalized-import-authoring-guide" TargetMode="External"/><Relationship Id="rId14" Type="http://schemas.openxmlformats.org/officeDocument/2006/relationships/hyperlink" Target="https://learn.microsoft.com/en-us/dynamics365/business-central/across-setup-auditing" TargetMode="External"/><Relationship Id="rId17" Type="http://schemas.openxmlformats.org/officeDocument/2006/relationships/hyperlink" Target="https://learn.microsoft.com/en-us/power-automate/process-mining-processes-and-data" TargetMode="External"/><Relationship Id="rId16" Type="http://schemas.openxmlformats.org/officeDocument/2006/relationships/hyperlink" Target="https://learn.microsoft.com/en-us/power-automate/process-mining-normalized-import-authoring-guide" TargetMode="External"/><Relationship Id="rId19" Type="http://schemas.openxmlformats.org/officeDocument/2006/relationships/hyperlink" Target="https://learn.microsoft.com/en-us/power-automate/process-mining-processes-and-data" TargetMode="External"/><Relationship Id="rId18" Type="http://schemas.openxmlformats.org/officeDocument/2006/relationships/hyperlink" Target="https://learn.microsoft.com/en-us/power-automate/process-mining-processes-and-data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anwarenterprisesystem.atlassian.net/browse/BSES-1331" TargetMode="External"/><Relationship Id="rId2" Type="http://schemas.openxmlformats.org/officeDocument/2006/relationships/hyperlink" Target="https://anwarenterprisesystem.atlassian.net/browse/BSES-1336" TargetMode="External"/><Relationship Id="rId3" Type="http://schemas.openxmlformats.org/officeDocument/2006/relationships/hyperlink" Target="https://anwarenterprisesystem.atlassian.net/browse/BSES-1411" TargetMode="External"/><Relationship Id="rId4" Type="http://schemas.openxmlformats.org/officeDocument/2006/relationships/hyperlink" Target="https://anwarenterprisesystem.atlassian.net/browse/BSES-1538" TargetMode="External"/><Relationship Id="rId9" Type="http://schemas.openxmlformats.org/officeDocument/2006/relationships/hyperlink" Target="https://anwarenterprisesystem.atlassian.net/browse/BSES-2928" TargetMode="External"/><Relationship Id="rId5" Type="http://schemas.openxmlformats.org/officeDocument/2006/relationships/hyperlink" Target="https://anwarenterprisesystem.atlassian.net/browse/BSES-1792" TargetMode="External"/><Relationship Id="rId6" Type="http://schemas.openxmlformats.org/officeDocument/2006/relationships/hyperlink" Target="https://anwarenterprisesystem.atlassian.net/browse/BSES-2719" TargetMode="External"/><Relationship Id="rId7" Type="http://schemas.openxmlformats.org/officeDocument/2006/relationships/hyperlink" Target="https://anwarenterprisesystem.atlassian.net/browse/BSES-2761" TargetMode="External"/><Relationship Id="rId8" Type="http://schemas.openxmlformats.org/officeDocument/2006/relationships/hyperlink" Target="https://anwarenterprisesystem.atlassian.net/browse/BSES-2923" TargetMode="External"/><Relationship Id="rId20" Type="http://schemas.openxmlformats.org/officeDocument/2006/relationships/hyperlink" Target="https://anwarenterprisesystem.atlassian.net/browse/BSES-2983" TargetMode="External"/><Relationship Id="rId22" Type="http://schemas.openxmlformats.org/officeDocument/2006/relationships/hyperlink" Target="https://anwarenterprisesystem.atlassian.net/browse/BSES-2985" TargetMode="External"/><Relationship Id="rId21" Type="http://schemas.openxmlformats.org/officeDocument/2006/relationships/hyperlink" Target="https://anwarenterprisesystem.atlassian.net/browse/BSES-2984" TargetMode="External"/><Relationship Id="rId24" Type="http://schemas.openxmlformats.org/officeDocument/2006/relationships/hyperlink" Target="https://anwarenterprisesystem.atlassian.net/browse/BSES-2987" TargetMode="External"/><Relationship Id="rId23" Type="http://schemas.openxmlformats.org/officeDocument/2006/relationships/hyperlink" Target="https://anwarenterprisesystem.atlassian.net/browse/BSES-2986" TargetMode="External"/><Relationship Id="rId25" Type="http://schemas.openxmlformats.org/officeDocument/2006/relationships/drawing" Target="../drawings/drawing29.xml"/><Relationship Id="rId11" Type="http://schemas.openxmlformats.org/officeDocument/2006/relationships/hyperlink" Target="https://anwarenterprisesystem.atlassian.net/browse/BSES-3057" TargetMode="External"/><Relationship Id="rId10" Type="http://schemas.openxmlformats.org/officeDocument/2006/relationships/hyperlink" Target="https://anwarenterprisesystem.atlassian.net/browse/BSES-2941" TargetMode="External"/><Relationship Id="rId13" Type="http://schemas.openxmlformats.org/officeDocument/2006/relationships/hyperlink" Target="https://anwarenterprisesystem.atlassian.net/browse/BSES-2974" TargetMode="External"/><Relationship Id="rId12" Type="http://schemas.openxmlformats.org/officeDocument/2006/relationships/hyperlink" Target="https://anwarenterprisesystem.atlassian.net/browse/BSES-2973" TargetMode="External"/><Relationship Id="rId15" Type="http://schemas.openxmlformats.org/officeDocument/2006/relationships/hyperlink" Target="https://anwarenterprisesystem.atlassian.net/browse/BSES-2976" TargetMode="External"/><Relationship Id="rId14" Type="http://schemas.openxmlformats.org/officeDocument/2006/relationships/hyperlink" Target="https://anwarenterprisesystem.atlassian.net/browse/BSES-2975" TargetMode="External"/><Relationship Id="rId17" Type="http://schemas.openxmlformats.org/officeDocument/2006/relationships/hyperlink" Target="https://anwarenterprisesystem.atlassian.net/browse/BSES-2980" TargetMode="External"/><Relationship Id="rId16" Type="http://schemas.openxmlformats.org/officeDocument/2006/relationships/hyperlink" Target="https://anwarenterprisesystem.atlassian.net/browse/BSES-2977" TargetMode="External"/><Relationship Id="rId19" Type="http://schemas.openxmlformats.org/officeDocument/2006/relationships/hyperlink" Target="https://anwarenterprisesystem.atlassian.net/browse/BSES-2982" TargetMode="External"/><Relationship Id="rId18" Type="http://schemas.openxmlformats.org/officeDocument/2006/relationships/hyperlink" Target="https://anwarenterprisesystem.atlassian.net/browse/BSES-2981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power-automate/process-mining-processes-and-data" TargetMode="External"/><Relationship Id="rId2" Type="http://schemas.openxmlformats.org/officeDocument/2006/relationships/hyperlink" Target="https://learn.microsoft.com/en-us/dynamics365/business-central/dev-itpro/webservices/web-service-telemetry" TargetMode="External"/><Relationship Id="rId3" Type="http://schemas.openxmlformats.org/officeDocument/2006/relationships/hyperlink" Target="https://learn.microsoft.com/en-us/dynamics365/business-central/dev-itpro/api-reference/v2.0/resources/dynamics_salesorder" TargetMode="External"/><Relationship Id="rId4" Type="http://schemas.openxmlformats.org/officeDocument/2006/relationships/hyperlink" Target="https://learn.microsoft.com/en-us/dynamics365/business-central/dev-itpro/api-reference/v2.0/resources/dynamics_salesshipment" TargetMode="External"/><Relationship Id="rId9" Type="http://schemas.openxmlformats.org/officeDocument/2006/relationships/drawing" Target="../drawings/drawing35.xml"/><Relationship Id="rId5" Type="http://schemas.openxmlformats.org/officeDocument/2006/relationships/hyperlink" Target="https://learn.microsoft.com/en-us/dynamics365/business-central/across-setup-auditing" TargetMode="External"/><Relationship Id="rId6" Type="http://schemas.openxmlformats.org/officeDocument/2006/relationships/hyperlink" Target="https://learn.microsoft.com/en-us/dynamics365/business-central/dev-itpro/api-reference/v2.0/resources/dynamics_salesorderline" TargetMode="External"/><Relationship Id="rId7" Type="http://schemas.openxmlformats.org/officeDocument/2006/relationships/hyperlink" Target="https://learn.microsoft.com/en-us/dynamics365/business-central/dev-itpro/api-reference/v2.0/resources/dynamics_customerpayment" TargetMode="External"/><Relationship Id="rId8" Type="http://schemas.openxmlformats.org/officeDocument/2006/relationships/hyperlink" Target="https://learn.microsoft.com/en-us/power-automate/process-mining-processes-and-data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power-automate/process-mining-processes-and-data" TargetMode="External"/><Relationship Id="rId2" Type="http://schemas.openxmlformats.org/officeDocument/2006/relationships/hyperlink" Target="https://learn.microsoft.com/en-us/power-automate/process-mining-processes-and-data" TargetMode="External"/><Relationship Id="rId3" Type="http://schemas.openxmlformats.org/officeDocument/2006/relationships/hyperlink" Target="https://learn.microsoft.com/en-us/dynamics365/business-central/dev-itpro/api-reference/v2.0/resources/dynamics_customerpayment" TargetMode="External"/><Relationship Id="rId4" Type="http://schemas.openxmlformats.org/officeDocument/2006/relationships/hyperlink" Target="https://learn.microsoft.com/en-us/dynamics365/business-central/dev-itpro/webservices/web-service-telemetry" TargetMode="External"/><Relationship Id="rId5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dynamics365/business-central/dev-itpro/webservices/web-service-telemetry" TargetMode="External"/><Relationship Id="rId2" Type="http://schemas.openxmlformats.org/officeDocument/2006/relationships/hyperlink" Target="https://learn.microsoft.com/en-us/dynamics365/business-central/dev-itpro/api-reference/v2.0/resources/dynamics_salesorder" TargetMode="External"/><Relationship Id="rId3" Type="http://schemas.openxmlformats.org/officeDocument/2006/relationships/hyperlink" Target="https://learn.microsoft.com/en-us/dynamics365/business-central/dev-itpro/api-reference/v2.0/resources/dynamics_customerpayment" TargetMode="External"/><Relationship Id="rId4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5" width="13.88"/>
    <col customWidth="1" min="6" max="13" width="13.25"/>
    <col customWidth="1" min="14" max="16" width="18.25"/>
  </cols>
  <sheetData>
    <row r="1" ht="28.5" customHeight="1">
      <c r="A1" s="11" t="s">
        <v>436</v>
      </c>
    </row>
    <row r="2" ht="19.5" customHeight="1">
      <c r="A2" s="12" t="s">
        <v>454</v>
      </c>
    </row>
    <row r="3" ht="30.0" customHeight="1">
      <c r="A3" s="13" t="s">
        <v>462</v>
      </c>
    </row>
    <row r="5">
      <c r="A5" s="14" t="s">
        <v>475</v>
      </c>
      <c r="B5" s="15"/>
      <c r="C5" s="16"/>
      <c r="D5" s="14" t="s">
        <v>477</v>
      </c>
      <c r="E5" s="15"/>
      <c r="F5" s="16"/>
      <c r="G5" s="14" t="s">
        <v>478</v>
      </c>
      <c r="H5" s="15"/>
      <c r="I5" s="16"/>
      <c r="J5" s="14" t="s">
        <v>479</v>
      </c>
      <c r="K5" s="15"/>
      <c r="L5" s="16"/>
      <c r="M5" s="14" t="s">
        <v>480</v>
      </c>
      <c r="N5" s="15"/>
      <c r="O5" s="15"/>
      <c r="P5" s="16"/>
    </row>
    <row r="6">
      <c r="A6" s="17">
        <f>COUNTA('Calibration Waves'!B2:B6)</f>
        <v>5</v>
      </c>
      <c r="C6" s="18"/>
      <c r="D6" s="17">
        <f>COUNTIF('Calibration Waves'!F2:F6,"*provisional evidence calibration completed*")</f>
        <v>1</v>
      </c>
      <c r="F6" s="18"/>
      <c r="G6" s="17">
        <v>0.0</v>
      </c>
      <c r="I6" s="18"/>
      <c r="J6" s="17">
        <f>COUNTA('O2C Pilot KPI Baseline'!A2:A16)</f>
        <v>15</v>
      </c>
      <c r="L6" s="18"/>
      <c r="M6" s="17">
        <f>COUNTA('O2C Event Schema'!A2:A34)</f>
        <v>33</v>
      </c>
      <c r="P6" s="18"/>
    </row>
    <row r="7">
      <c r="A7" s="17" t="s">
        <v>517</v>
      </c>
      <c r="C7" s="18"/>
      <c r="D7" s="17" t="s">
        <v>522</v>
      </c>
      <c r="F7" s="18"/>
      <c r="G7" s="17" t="s">
        <v>525</v>
      </c>
      <c r="I7" s="18"/>
      <c r="J7" s="17" t="s">
        <v>529</v>
      </c>
      <c r="L7" s="18"/>
      <c r="M7" s="17" t="s">
        <v>532</v>
      </c>
      <c r="P7" s="18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10">
      <c r="A10" s="20" t="s">
        <v>540</v>
      </c>
    </row>
    <row r="11">
      <c r="A11" s="21" t="s">
        <v>542</v>
      </c>
      <c r="B11" s="15"/>
      <c r="C11" s="16"/>
      <c r="D11" s="21" t="s">
        <v>546</v>
      </c>
      <c r="E11" s="15"/>
      <c r="F11" s="16"/>
      <c r="G11" s="21" t="s">
        <v>548</v>
      </c>
      <c r="H11" s="15"/>
      <c r="I11" s="16"/>
      <c r="J11" s="21" t="s">
        <v>551</v>
      </c>
      <c r="K11" s="15"/>
      <c r="L11" s="16"/>
      <c r="M11" s="21" t="s">
        <v>555</v>
      </c>
      <c r="N11" s="15"/>
      <c r="O11" s="15"/>
      <c r="P11" s="16"/>
    </row>
    <row r="12">
      <c r="A12" s="23" t="s">
        <v>569</v>
      </c>
      <c r="C12" s="18"/>
      <c r="D12" s="23" t="s">
        <v>573</v>
      </c>
      <c r="F12" s="18"/>
      <c r="G12" s="23" t="s">
        <v>577</v>
      </c>
      <c r="I12" s="18"/>
      <c r="J12" s="23" t="s">
        <v>583</v>
      </c>
      <c r="L12" s="18"/>
      <c r="M12" s="23" t="s">
        <v>583</v>
      </c>
      <c r="P12" s="18"/>
    </row>
    <row r="13">
      <c r="A13" s="24" t="s">
        <v>592</v>
      </c>
      <c r="B13" s="25"/>
      <c r="C13" s="26"/>
      <c r="D13" s="24" t="s">
        <v>595</v>
      </c>
      <c r="E13" s="25"/>
      <c r="F13" s="26"/>
      <c r="G13" s="24" t="s">
        <v>601</v>
      </c>
      <c r="H13" s="25"/>
      <c r="I13" s="26"/>
      <c r="J13" s="24" t="s">
        <v>604</v>
      </c>
      <c r="K13" s="25"/>
      <c r="L13" s="26"/>
      <c r="M13" s="24" t="s">
        <v>608</v>
      </c>
      <c r="N13" s="25"/>
      <c r="O13" s="25"/>
      <c r="P13" s="26"/>
    </row>
    <row r="15">
      <c r="A15" s="20" t="s">
        <v>612</v>
      </c>
    </row>
    <row r="16" ht="36.0" customHeight="1">
      <c r="A16" s="27" t="s">
        <v>614</v>
      </c>
      <c r="B16" s="27" t="s">
        <v>221</v>
      </c>
      <c r="D16" s="27" t="s">
        <v>12</v>
      </c>
      <c r="F16" s="27" t="s">
        <v>18</v>
      </c>
      <c r="H16" s="27" t="s">
        <v>616</v>
      </c>
      <c r="J16" s="27" t="s">
        <v>23</v>
      </c>
      <c r="L16" s="27" t="s">
        <v>619</v>
      </c>
      <c r="N16" s="27" t="s">
        <v>36</v>
      </c>
    </row>
    <row r="17" ht="36.0" customHeight="1">
      <c r="A17" s="28">
        <v>1.0</v>
      </c>
      <c r="B17" s="27" t="str">
        <f>'Dashboard Inputs'!A2</f>
        <v>Sales</v>
      </c>
      <c r="D17" s="27" t="str">
        <f>'Dashboard Inputs'!B2</f>
        <v>Order-to-Cash</v>
      </c>
      <c r="F17" s="27" t="str">
        <f>'Dashboard Inputs'!D2</f>
        <v>Complete</v>
      </c>
      <c r="H17" s="27" t="str">
        <f>'Dashboard Inputs'!E2</f>
        <v>Complete</v>
      </c>
      <c r="J17" s="27" t="str">
        <f>'Dashboard Inputs'!F2</f>
        <v>Pending</v>
      </c>
      <c r="L17" s="27" t="str">
        <f>'Dashboard Inputs'!G2&amp;" / "&amp;'Dashboard Inputs'!H2</f>
        <v>S1-S2 (provisional) / E2 Candidate</v>
      </c>
      <c r="N17" s="27" t="str">
        <f>'Dashboard Inputs'!K2</f>
        <v>Treat AOPL only as the provisional first-to-check. Issue its P0 requests DR-O2C-01/02/03/04/07/09/10, verify the latest complete 30-day Sales Eco→BC→Logistics→Finance chain, and select a pilot only after all 7 mandatory gates pass; if AOPL fails a gate, validate AGL next.</v>
      </c>
    </row>
    <row r="18" ht="36.0" customHeight="1">
      <c r="A18" s="29">
        <v>2.0</v>
      </c>
      <c r="B18" s="27" t="str">
        <f>'Dashboard Inputs'!A3</f>
        <v>SCM</v>
      </c>
      <c r="D18" s="27" t="str">
        <f>'Dashboard Inputs'!B3</f>
        <v>Source-to-Pay</v>
      </c>
      <c r="F18" s="27" t="str">
        <f>'Dashboard Inputs'!D3</f>
        <v>Complete</v>
      </c>
      <c r="H18" s="27" t="str">
        <f>'Dashboard Inputs'!E3</f>
        <v>Pending</v>
      </c>
      <c r="J18" s="27" t="str">
        <f>'Dashboard Inputs'!F3</f>
        <v>Pending</v>
      </c>
      <c r="L18" s="27" t="str">
        <f>'Dashboard Inputs'!G3&amp;" / "&amp;'Dashboard Inputs'!H3</f>
        <v>Not calibrated / E1-E2 Design Evidence</v>
      </c>
      <c r="N18" s="27" t="str">
        <f>'Dashboard Inputs'!K3</f>
        <v>Run evidence review and extract demand→vendor→RFQ→PO→GRN/QC→invoice→payment events once live evidence is available.</v>
      </c>
    </row>
    <row r="19" ht="36.0" customHeight="1">
      <c r="A19" s="29">
        <v>3.0</v>
      </c>
      <c r="B19" s="27" t="str">
        <f>'Dashboard Inputs'!A4</f>
        <v>Logistics</v>
      </c>
      <c r="D19" s="27" t="str">
        <f>'Dashboard Inputs'!B4</f>
        <v>Delivery-to-POD</v>
      </c>
      <c r="F19" s="27" t="str">
        <f>'Dashboard Inputs'!D4</f>
        <v>Complete</v>
      </c>
      <c r="H19" s="27" t="str">
        <f>'Dashboard Inputs'!E4</f>
        <v>Pending</v>
      </c>
      <c r="J19" s="27" t="str">
        <f>'Dashboard Inputs'!F4</f>
        <v>Pending</v>
      </c>
      <c r="L19" s="27" t="str">
        <f>'Dashboard Inputs'!G4&amp;" / "&amp;'Dashboard Inputs'!H4</f>
        <v>Not calibrated / E1-E2 Design Evidence</v>
      </c>
      <c r="N19" s="27" t="str">
        <f>'Dashboard Inputs'!K4</f>
        <v>Validate actual digital coverage from DO readiness through POD and reconciliation using live trip/dispatch events.</v>
      </c>
    </row>
    <row r="20" ht="36.0" customHeight="1">
      <c r="A20" s="29">
        <v>4.0</v>
      </c>
      <c r="B20" s="27" t="str">
        <f>'Dashboard Inputs'!A5</f>
        <v>HR</v>
      </c>
      <c r="D20" s="27" t="str">
        <f>'Dashboard Inputs'!B5</f>
        <v>Attendance-to-Payroll</v>
      </c>
      <c r="F20" s="27" t="str">
        <f>'Dashboard Inputs'!D5</f>
        <v>Complete</v>
      </c>
      <c r="H20" s="27" t="str">
        <f>'Dashboard Inputs'!E5</f>
        <v>Pending</v>
      </c>
      <c r="J20" s="27" t="str">
        <f>'Dashboard Inputs'!F5</f>
        <v>Pending</v>
      </c>
      <c r="L20" s="27" t="str">
        <f>'Dashboard Inputs'!G5&amp;" / "&amp;'Dashboard Inputs'!H5</f>
        <v>Not calibrated / E1 Design Evidence</v>
      </c>
      <c r="N20" s="27" t="str">
        <f>'Dashboard Inputs'!K5</f>
        <v>Validate master data, attendance-device flow, payroll run, bank response and payroll→BC posting using consecutive payroll periods.</v>
      </c>
    </row>
    <row r="21" ht="36.0" customHeight="1">
      <c r="A21" s="29">
        <v>5.0</v>
      </c>
      <c r="B21" s="27" t="str">
        <f>'Dashboard Inputs'!A6</f>
        <v>Production</v>
      </c>
      <c r="D21" s="27" t="str">
        <f>'Dashboard Inputs'!B6</f>
        <v>Plan-to-Produce</v>
      </c>
      <c r="F21" s="27" t="str">
        <f>'Dashboard Inputs'!D6</f>
        <v>Complete</v>
      </c>
      <c r="H21" s="27" t="str">
        <f>'Dashboard Inputs'!E6</f>
        <v>Pending</v>
      </c>
      <c r="J21" s="27" t="str">
        <f>'Dashboard Inputs'!F6</f>
        <v>Pending</v>
      </c>
      <c r="L21" s="27" t="str">
        <f>'Dashboard Inputs'!G6&amp;" / "&amp;'Dashboard Inputs'!H6</f>
        <v>Not calibrated / E1 Design Evidence</v>
      </c>
      <c r="N21" s="27" t="str">
        <f>'Dashboard Inputs'!K6</f>
        <v>Sample production orders end-to-end, including materials, operation events, QC, FG, scrap/by-product and costing reconciliation.</v>
      </c>
    </row>
    <row r="22" ht="36.0" customHeight="1">
      <c r="A22" s="29">
        <v>6.0</v>
      </c>
      <c r="B22" s="27" t="str">
        <f>'Dashboard Inputs'!A7</f>
        <v>Finance</v>
      </c>
      <c r="D22" s="27" t="str">
        <f>'Dashboard Inputs'!B7</f>
        <v>Record-to-Report</v>
      </c>
      <c r="F22" s="27" t="str">
        <f>'Dashboard Inputs'!D7</f>
        <v>Registry baseline</v>
      </c>
      <c r="H22" s="27" t="str">
        <f>'Dashboard Inputs'!E7</f>
        <v>Pending</v>
      </c>
      <c r="J22" s="27" t="str">
        <f>'Dashboard Inputs'!F7</f>
        <v>Pending</v>
      </c>
      <c r="L22" s="27" t="str">
        <f>'Dashboard Inputs'!G7&amp;" / "&amp;'Dashboard Inputs'!H7</f>
        <v>Not calibrated / E1 Design Evidence</v>
      </c>
      <c r="N22" s="27" t="str">
        <f>'Dashboard Inputs'!K7</f>
        <v>Create R2R calibration pack and sample actual close, reconciliation, posting and reporting evidence.</v>
      </c>
    </row>
    <row r="23" ht="36.0" customHeight="1">
      <c r="A23" s="29">
        <v>7.0</v>
      </c>
      <c r="B23" s="27" t="str">
        <f>'Dashboard Inputs'!A8</f>
        <v>Quality Control</v>
      </c>
      <c r="D23" s="27" t="str">
        <f>'Dashboard Inputs'!B8</f>
        <v>Quality-to-Release</v>
      </c>
      <c r="F23" s="27" t="str">
        <f>'Dashboard Inputs'!D8</f>
        <v>Registry baseline</v>
      </c>
      <c r="H23" s="27" t="str">
        <f>'Dashboard Inputs'!E8</f>
        <v>Pending</v>
      </c>
      <c r="J23" s="27" t="str">
        <f>'Dashboard Inputs'!F8</f>
        <v>Pending</v>
      </c>
      <c r="L23" s="27" t="str">
        <f>'Dashboard Inputs'!G8&amp;" / "&amp;'Dashboard Inputs'!H8</f>
        <v>Not calibrated / E1 Composite Evidence</v>
      </c>
      <c r="N23" s="27" t="str">
        <f>'Dashboard Inputs'!K8</f>
        <v>Create standalone QC discovery/calibration pack and validate incoming, in-process and final inspection evidence.</v>
      </c>
    </row>
    <row r="24" ht="36.0" customHeight="1">
      <c r="A24" s="29">
        <v>8.0</v>
      </c>
      <c r="B24" s="27" t="str">
        <f>'Dashboard Inputs'!A9</f>
        <v>Inventory / Warehouse</v>
      </c>
      <c r="D24" s="27" t="str">
        <f>'Dashboard Inputs'!B9</f>
        <v>Inventory-to-Fulfilment</v>
      </c>
      <c r="F24" s="27" t="str">
        <f>'Dashboard Inputs'!D9</f>
        <v>Registry baseline</v>
      </c>
      <c r="H24" s="27" t="str">
        <f>'Dashboard Inputs'!E9</f>
        <v>Pending</v>
      </c>
      <c r="J24" s="27" t="str">
        <f>'Dashboard Inputs'!F9</f>
        <v>Pending</v>
      </c>
      <c r="L24" s="27" t="str">
        <f>'Dashboard Inputs'!G9&amp;" / "&amp;'Dashboard Inputs'!H9</f>
        <v>Not calibrated / E1-E2 Candidate</v>
      </c>
      <c r="N24" s="27" t="str">
        <f>'Dashboard Inputs'!K9</f>
        <v>Create dedicated inventory calibration pack and validate stock accuracy, reservation, movement, cycle count and inventory→GL evidence.</v>
      </c>
    </row>
    <row r="27">
      <c r="A27" s="20" t="s">
        <v>1062</v>
      </c>
    </row>
    <row r="28">
      <c r="A28" s="30" t="s">
        <v>1067</v>
      </c>
      <c r="B28" s="15"/>
      <c r="C28" s="15"/>
      <c r="D28" s="16"/>
      <c r="E28" s="30" t="s">
        <v>1068</v>
      </c>
      <c r="F28" s="15"/>
      <c r="G28" s="15"/>
      <c r="H28" s="16"/>
      <c r="I28" s="30" t="s">
        <v>1069</v>
      </c>
      <c r="J28" s="15"/>
      <c r="K28" s="15"/>
      <c r="L28" s="16"/>
      <c r="M28" s="30" t="s">
        <v>1070</v>
      </c>
      <c r="N28" s="15"/>
      <c r="O28" s="15"/>
      <c r="P28" s="16"/>
    </row>
    <row r="29">
      <c r="A29" s="31" t="s">
        <v>1074</v>
      </c>
      <c r="D29" s="18"/>
      <c r="E29" s="31" t="s">
        <v>1076</v>
      </c>
      <c r="H29" s="18"/>
      <c r="I29" s="31" t="s">
        <v>1077</v>
      </c>
      <c r="L29" s="18"/>
      <c r="M29" s="31" t="s">
        <v>1078</v>
      </c>
      <c r="P29" s="18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4">
      <c r="I34" s="20" t="s">
        <v>1093</v>
      </c>
    </row>
    <row r="35">
      <c r="I35" s="34" t="s">
        <v>421</v>
      </c>
      <c r="K35" s="34" t="s">
        <v>1094</v>
      </c>
      <c r="M35" s="34" t="s">
        <v>1095</v>
      </c>
    </row>
    <row r="36">
      <c r="I36" s="34" t="s">
        <v>1096</v>
      </c>
      <c r="K36" s="34" t="s">
        <v>1097</v>
      </c>
      <c r="M36" s="34" t="s">
        <v>1098</v>
      </c>
    </row>
    <row r="37">
      <c r="I37" s="34" t="s">
        <v>647</v>
      </c>
      <c r="K37" s="34" t="s">
        <v>1099</v>
      </c>
      <c r="M37" s="34" t="s">
        <v>1100</v>
      </c>
    </row>
    <row r="38">
      <c r="I38" s="34" t="s">
        <v>1102</v>
      </c>
      <c r="K38" s="34" t="s">
        <v>1109</v>
      </c>
      <c r="M38" s="34" t="s">
        <v>1111</v>
      </c>
    </row>
    <row r="39">
      <c r="I39" s="34" t="s">
        <v>1115</v>
      </c>
      <c r="K39" s="34" t="s">
        <v>1119</v>
      </c>
      <c r="M39" s="34" t="s">
        <v>1122</v>
      </c>
    </row>
    <row r="40">
      <c r="I40" s="34" t="s">
        <v>1125</v>
      </c>
      <c r="K40" s="34" t="s">
        <v>1128</v>
      </c>
      <c r="M40" s="34" t="s">
        <v>1131</v>
      </c>
    </row>
    <row r="42" ht="19.5" customHeight="1">
      <c r="A42" s="20" t="s">
        <v>1139</v>
      </c>
    </row>
    <row r="43" ht="43.5" customHeight="1">
      <c r="A43" s="35" t="s">
        <v>1094</v>
      </c>
      <c r="B43" s="36"/>
      <c r="C43" s="37"/>
      <c r="D43" s="35" t="s">
        <v>1169</v>
      </c>
      <c r="E43" s="36"/>
      <c r="F43" s="37"/>
      <c r="G43" s="35" t="s">
        <v>1177</v>
      </c>
      <c r="H43" s="36"/>
      <c r="I43" s="37"/>
      <c r="J43" s="35" t="s">
        <v>1185</v>
      </c>
      <c r="K43" s="36"/>
      <c r="L43" s="37"/>
      <c r="M43" s="35" t="s">
        <v>1191</v>
      </c>
      <c r="N43" s="36"/>
      <c r="O43" s="36"/>
      <c r="P43" s="37"/>
    </row>
    <row r="44" ht="43.5" customHeight="1">
      <c r="A44" s="38" t="s">
        <v>1203</v>
      </c>
      <c r="B44" s="36"/>
      <c r="C44" s="37"/>
      <c r="D44" s="39" t="s">
        <v>1223</v>
      </c>
      <c r="E44" s="36"/>
      <c r="F44" s="37"/>
      <c r="G44" s="38" t="s">
        <v>1238</v>
      </c>
      <c r="H44" s="36"/>
      <c r="I44" s="37"/>
      <c r="J44" s="38" t="s">
        <v>1248</v>
      </c>
      <c r="K44" s="36"/>
      <c r="L44" s="37"/>
      <c r="M44" s="38" t="s">
        <v>1257</v>
      </c>
      <c r="N44" s="36"/>
      <c r="O44" s="36"/>
      <c r="P44" s="37"/>
    </row>
  </sheetData>
  <mergeCells count="137">
    <mergeCell ref="H16:I16"/>
    <mergeCell ref="J16:K16"/>
    <mergeCell ref="L16:M16"/>
    <mergeCell ref="N16:P16"/>
    <mergeCell ref="A13:C13"/>
    <mergeCell ref="D13:F13"/>
    <mergeCell ref="G13:I13"/>
    <mergeCell ref="J13:L13"/>
    <mergeCell ref="M13:P13"/>
    <mergeCell ref="A15:P15"/>
    <mergeCell ref="B16:C16"/>
    <mergeCell ref="L17:M17"/>
    <mergeCell ref="N17:P17"/>
    <mergeCell ref="D16:E16"/>
    <mergeCell ref="F16:G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L18:M18"/>
    <mergeCell ref="N18:P18"/>
    <mergeCell ref="B19:C19"/>
    <mergeCell ref="D19:E19"/>
    <mergeCell ref="F19:G19"/>
    <mergeCell ref="H19:I19"/>
    <mergeCell ref="J19:K19"/>
    <mergeCell ref="L19:M19"/>
    <mergeCell ref="N19:P19"/>
    <mergeCell ref="B20:C20"/>
    <mergeCell ref="D20:E20"/>
    <mergeCell ref="F20:G20"/>
    <mergeCell ref="H20:I20"/>
    <mergeCell ref="J20:K20"/>
    <mergeCell ref="L20:M20"/>
    <mergeCell ref="N20:P20"/>
    <mergeCell ref="B21:C21"/>
    <mergeCell ref="D21:E21"/>
    <mergeCell ref="F21:G21"/>
    <mergeCell ref="H21:I21"/>
    <mergeCell ref="J21:K21"/>
    <mergeCell ref="L21:M21"/>
    <mergeCell ref="N21:P21"/>
    <mergeCell ref="B22:C22"/>
    <mergeCell ref="D22:E22"/>
    <mergeCell ref="F22:G22"/>
    <mergeCell ref="H22:I22"/>
    <mergeCell ref="J22:K22"/>
    <mergeCell ref="L22:M22"/>
    <mergeCell ref="N22:P22"/>
    <mergeCell ref="B23:C23"/>
    <mergeCell ref="D23:E23"/>
    <mergeCell ref="F23:G23"/>
    <mergeCell ref="H23:I23"/>
    <mergeCell ref="J23:K23"/>
    <mergeCell ref="L23:M23"/>
    <mergeCell ref="N23:P23"/>
    <mergeCell ref="A27:P27"/>
    <mergeCell ref="A28:D28"/>
    <mergeCell ref="E28:H28"/>
    <mergeCell ref="I28:L28"/>
    <mergeCell ref="M28:P28"/>
    <mergeCell ref="A29:D29"/>
    <mergeCell ref="E29:H29"/>
    <mergeCell ref="K36:L36"/>
    <mergeCell ref="M36:P36"/>
    <mergeCell ref="I29:L29"/>
    <mergeCell ref="M29:P29"/>
    <mergeCell ref="I34:P34"/>
    <mergeCell ref="I35:J35"/>
    <mergeCell ref="K35:L35"/>
    <mergeCell ref="M35:P35"/>
    <mergeCell ref="I36:J36"/>
    <mergeCell ref="K39:L39"/>
    <mergeCell ref="M39:P39"/>
    <mergeCell ref="I37:J37"/>
    <mergeCell ref="K37:L37"/>
    <mergeCell ref="M37:P37"/>
    <mergeCell ref="I38:J38"/>
    <mergeCell ref="K38:L38"/>
    <mergeCell ref="M38:P38"/>
    <mergeCell ref="I39:J39"/>
    <mergeCell ref="J43:L43"/>
    <mergeCell ref="M43:P43"/>
    <mergeCell ref="A44:C44"/>
    <mergeCell ref="D44:F44"/>
    <mergeCell ref="G44:I44"/>
    <mergeCell ref="J44:L44"/>
    <mergeCell ref="M44:P44"/>
    <mergeCell ref="I40:J40"/>
    <mergeCell ref="K40:L40"/>
    <mergeCell ref="M40:P40"/>
    <mergeCell ref="A42:P42"/>
    <mergeCell ref="A43:C43"/>
    <mergeCell ref="D43:F43"/>
    <mergeCell ref="G43:I43"/>
    <mergeCell ref="A1:P1"/>
    <mergeCell ref="A2:P2"/>
    <mergeCell ref="A3:P3"/>
    <mergeCell ref="D5:F5"/>
    <mergeCell ref="G5:I5"/>
    <mergeCell ref="J5:L5"/>
    <mergeCell ref="M5:P5"/>
    <mergeCell ref="D7:F7"/>
    <mergeCell ref="G7:I7"/>
    <mergeCell ref="J7:L7"/>
    <mergeCell ref="M7:P7"/>
    <mergeCell ref="A5:C5"/>
    <mergeCell ref="A6:C6"/>
    <mergeCell ref="D6:F6"/>
    <mergeCell ref="G6:I6"/>
    <mergeCell ref="J6:L6"/>
    <mergeCell ref="M6:P6"/>
    <mergeCell ref="A10:P10"/>
    <mergeCell ref="M11:P11"/>
    <mergeCell ref="G12:I12"/>
    <mergeCell ref="J12:L12"/>
    <mergeCell ref="M12:P12"/>
    <mergeCell ref="A7:C7"/>
    <mergeCell ref="A11:C11"/>
    <mergeCell ref="D11:F11"/>
    <mergeCell ref="G11:I11"/>
    <mergeCell ref="J11:L11"/>
    <mergeCell ref="A12:C12"/>
    <mergeCell ref="D12:F12"/>
    <mergeCell ref="B24:C24"/>
    <mergeCell ref="D24:E24"/>
    <mergeCell ref="F24:G24"/>
    <mergeCell ref="H24:I24"/>
    <mergeCell ref="J24:K24"/>
    <mergeCell ref="L24:M24"/>
    <mergeCell ref="N24:P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13"/>
    <col customWidth="1" min="4" max="9" width="18.25"/>
    <col customWidth="1" min="10" max="13" width="32.63"/>
    <col customWidth="1" min="14" max="14" width="13.88"/>
  </cols>
  <sheetData>
    <row r="1">
      <c r="A1" s="2" t="s">
        <v>2</v>
      </c>
      <c r="B1" s="2" t="s">
        <v>12</v>
      </c>
      <c r="C1" s="2" t="s">
        <v>15</v>
      </c>
      <c r="D1" s="2" t="s">
        <v>18</v>
      </c>
      <c r="E1" s="2" t="s">
        <v>21</v>
      </c>
      <c r="F1" s="2" t="s">
        <v>23</v>
      </c>
      <c r="G1" s="2" t="s">
        <v>25</v>
      </c>
      <c r="H1" s="2" t="s">
        <v>28</v>
      </c>
      <c r="I1" s="2" t="s">
        <v>30</v>
      </c>
      <c r="J1" s="2" t="s">
        <v>33</v>
      </c>
      <c r="K1" s="2" t="s">
        <v>36</v>
      </c>
      <c r="L1" s="2" t="s">
        <v>38</v>
      </c>
      <c r="M1" s="2" t="s">
        <v>40</v>
      </c>
      <c r="N1" s="2" t="s">
        <v>44</v>
      </c>
    </row>
    <row r="2">
      <c r="A2" s="3" t="s">
        <v>47</v>
      </c>
      <c r="B2" s="3" t="s">
        <v>51</v>
      </c>
      <c r="C2" s="3" t="s">
        <v>53</v>
      </c>
      <c r="D2" s="3" t="s">
        <v>56</v>
      </c>
      <c r="E2" s="3" t="s">
        <v>56</v>
      </c>
      <c r="F2" s="3" t="s">
        <v>58</v>
      </c>
      <c r="G2" s="3" t="s">
        <v>61</v>
      </c>
      <c r="H2" s="3" t="s">
        <v>63</v>
      </c>
      <c r="I2" s="3" t="s">
        <v>65</v>
      </c>
      <c r="J2" s="3" t="s">
        <v>67</v>
      </c>
      <c r="K2" s="3" t="s">
        <v>69</v>
      </c>
      <c r="L2" s="3" t="s">
        <v>70</v>
      </c>
      <c r="M2" s="3" t="s">
        <v>71</v>
      </c>
      <c r="N2" s="4" t="s">
        <v>73</v>
      </c>
    </row>
    <row r="3">
      <c r="A3" s="3" t="s">
        <v>74</v>
      </c>
      <c r="B3" s="3" t="s">
        <v>75</v>
      </c>
      <c r="C3" s="3" t="s">
        <v>76</v>
      </c>
      <c r="D3" s="3" t="s">
        <v>56</v>
      </c>
      <c r="E3" s="3" t="s">
        <v>58</v>
      </c>
      <c r="F3" s="3" t="s">
        <v>58</v>
      </c>
      <c r="G3" s="3" t="s">
        <v>64</v>
      </c>
      <c r="H3" s="3" t="s">
        <v>77</v>
      </c>
      <c r="I3" s="3" t="s">
        <v>78</v>
      </c>
      <c r="J3" s="3" t="s">
        <v>79</v>
      </c>
      <c r="K3" s="3" t="s">
        <v>80</v>
      </c>
      <c r="L3" s="3" t="s">
        <v>81</v>
      </c>
      <c r="M3" s="3" t="s">
        <v>82</v>
      </c>
      <c r="N3" s="4" t="s">
        <v>83</v>
      </c>
    </row>
    <row r="4">
      <c r="A4" s="3" t="s">
        <v>84</v>
      </c>
      <c r="B4" s="3" t="s">
        <v>85</v>
      </c>
      <c r="C4" s="3" t="s">
        <v>86</v>
      </c>
      <c r="D4" s="3" t="s">
        <v>56</v>
      </c>
      <c r="E4" s="3" t="s">
        <v>58</v>
      </c>
      <c r="F4" s="3" t="s">
        <v>58</v>
      </c>
      <c r="G4" s="3" t="s">
        <v>64</v>
      </c>
      <c r="H4" s="3" t="s">
        <v>77</v>
      </c>
      <c r="I4" s="3" t="s">
        <v>78</v>
      </c>
      <c r="J4" s="3" t="s">
        <v>87</v>
      </c>
      <c r="K4" s="3" t="s">
        <v>88</v>
      </c>
      <c r="L4" s="3" t="s">
        <v>89</v>
      </c>
      <c r="M4" s="3" t="s">
        <v>90</v>
      </c>
      <c r="N4" s="4" t="s">
        <v>83</v>
      </c>
    </row>
    <row r="5">
      <c r="A5" s="3" t="s">
        <v>91</v>
      </c>
      <c r="B5" s="3" t="s">
        <v>92</v>
      </c>
      <c r="C5" s="3" t="s">
        <v>93</v>
      </c>
      <c r="D5" s="3" t="s">
        <v>56</v>
      </c>
      <c r="E5" s="3" t="s">
        <v>58</v>
      </c>
      <c r="F5" s="3" t="s">
        <v>58</v>
      </c>
      <c r="G5" s="3" t="s">
        <v>64</v>
      </c>
      <c r="H5" s="3" t="s">
        <v>94</v>
      </c>
      <c r="I5" s="3" t="s">
        <v>78</v>
      </c>
      <c r="J5" s="3" t="s">
        <v>95</v>
      </c>
      <c r="K5" s="3" t="s">
        <v>96</v>
      </c>
      <c r="L5" s="3" t="s">
        <v>97</v>
      </c>
      <c r="M5" s="3" t="s">
        <v>98</v>
      </c>
      <c r="N5" s="4" t="s">
        <v>83</v>
      </c>
    </row>
    <row r="6">
      <c r="A6" s="3" t="s">
        <v>99</v>
      </c>
      <c r="B6" s="3" t="s">
        <v>100</v>
      </c>
      <c r="C6" s="3" t="s">
        <v>101</v>
      </c>
      <c r="D6" s="3" t="s">
        <v>56</v>
      </c>
      <c r="E6" s="3" t="s">
        <v>58</v>
      </c>
      <c r="F6" s="3" t="s">
        <v>58</v>
      </c>
      <c r="G6" s="3" t="s">
        <v>64</v>
      </c>
      <c r="H6" s="3" t="s">
        <v>94</v>
      </c>
      <c r="I6" s="3" t="s">
        <v>102</v>
      </c>
      <c r="J6" s="3" t="s">
        <v>103</v>
      </c>
      <c r="K6" s="3" t="s">
        <v>104</v>
      </c>
      <c r="L6" s="3" t="s">
        <v>105</v>
      </c>
      <c r="M6" s="3" t="s">
        <v>106</v>
      </c>
      <c r="N6" s="4" t="s">
        <v>83</v>
      </c>
    </row>
    <row r="7">
      <c r="A7" s="3" t="s">
        <v>107</v>
      </c>
      <c r="B7" s="3" t="s">
        <v>108</v>
      </c>
      <c r="C7" s="3" t="s">
        <v>109</v>
      </c>
      <c r="D7" s="3" t="s">
        <v>110</v>
      </c>
      <c r="E7" s="3" t="s">
        <v>58</v>
      </c>
      <c r="F7" s="3" t="s">
        <v>58</v>
      </c>
      <c r="G7" s="3" t="s">
        <v>64</v>
      </c>
      <c r="H7" s="3" t="s">
        <v>94</v>
      </c>
      <c r="I7" s="3" t="s">
        <v>102</v>
      </c>
      <c r="J7" s="3" t="s">
        <v>111</v>
      </c>
      <c r="K7" s="3" t="s">
        <v>112</v>
      </c>
      <c r="L7" s="3" t="s">
        <v>113</v>
      </c>
      <c r="M7" s="3" t="s">
        <v>114</v>
      </c>
      <c r="N7" s="4" t="s">
        <v>83</v>
      </c>
    </row>
    <row r="8">
      <c r="A8" s="3" t="s">
        <v>116</v>
      </c>
      <c r="B8" s="3" t="s">
        <v>117</v>
      </c>
      <c r="C8" s="3" t="s">
        <v>118</v>
      </c>
      <c r="D8" s="3" t="s">
        <v>110</v>
      </c>
      <c r="E8" s="3" t="s">
        <v>58</v>
      </c>
      <c r="F8" s="3" t="s">
        <v>58</v>
      </c>
      <c r="G8" s="3" t="s">
        <v>64</v>
      </c>
      <c r="H8" s="3" t="s">
        <v>121</v>
      </c>
      <c r="I8" s="3" t="s">
        <v>122</v>
      </c>
      <c r="J8" s="3" t="s">
        <v>123</v>
      </c>
      <c r="K8" s="3" t="s">
        <v>124</v>
      </c>
      <c r="L8" s="3" t="s">
        <v>125</v>
      </c>
      <c r="M8" s="3" t="s">
        <v>126</v>
      </c>
      <c r="N8" s="4" t="s">
        <v>83</v>
      </c>
    </row>
    <row r="9">
      <c r="A9" s="3" t="s">
        <v>127</v>
      </c>
      <c r="B9" s="3" t="s">
        <v>128</v>
      </c>
      <c r="C9" s="3" t="s">
        <v>129</v>
      </c>
      <c r="D9" s="3" t="s">
        <v>110</v>
      </c>
      <c r="E9" s="3" t="s">
        <v>58</v>
      </c>
      <c r="F9" s="3" t="s">
        <v>58</v>
      </c>
      <c r="G9" s="3" t="s">
        <v>64</v>
      </c>
      <c r="H9" s="3" t="s">
        <v>131</v>
      </c>
      <c r="I9" s="3" t="s">
        <v>102</v>
      </c>
      <c r="J9" s="3" t="s">
        <v>134</v>
      </c>
      <c r="K9" s="3" t="s">
        <v>136</v>
      </c>
      <c r="L9" s="3" t="s">
        <v>138</v>
      </c>
      <c r="M9" s="3" t="s">
        <v>139</v>
      </c>
      <c r="N9" s="4" t="s">
        <v>83</v>
      </c>
    </row>
    <row r="11">
      <c r="A11" s="6" t="s">
        <v>140</v>
      </c>
      <c r="B11" s="6" t="s">
        <v>142</v>
      </c>
      <c r="C11" s="6" t="s">
        <v>144</v>
      </c>
      <c r="D11" s="6" t="s">
        <v>146</v>
      </c>
    </row>
    <row r="12">
      <c r="A12" s="2" t="s">
        <v>147</v>
      </c>
      <c r="B12" s="2">
        <v>5.0</v>
      </c>
      <c r="C12" s="2">
        <v>5.0</v>
      </c>
      <c r="D12" s="7">
        <f t="shared" ref="D12:D16" si="1">B12/C12</f>
        <v>1</v>
      </c>
    </row>
    <row r="13">
      <c r="A13" s="8" t="s">
        <v>21</v>
      </c>
      <c r="B13" s="8">
        <v>1.0</v>
      </c>
      <c r="C13" s="8">
        <v>5.0</v>
      </c>
      <c r="D13" s="9">
        <f t="shared" si="1"/>
        <v>0.2</v>
      </c>
    </row>
    <row r="14">
      <c r="A14" s="8" t="s">
        <v>167</v>
      </c>
      <c r="B14" s="8">
        <v>0.0</v>
      </c>
      <c r="C14" s="8">
        <v>5.0</v>
      </c>
      <c r="D14" s="9">
        <f t="shared" si="1"/>
        <v>0</v>
      </c>
    </row>
    <row r="15">
      <c r="A15" s="8" t="s">
        <v>169</v>
      </c>
      <c r="B15" s="8">
        <v>0.0</v>
      </c>
      <c r="C15" s="8">
        <v>5.0</v>
      </c>
      <c r="D15" s="9">
        <f t="shared" si="1"/>
        <v>0</v>
      </c>
    </row>
    <row r="16">
      <c r="A16" s="8" t="s">
        <v>172</v>
      </c>
      <c r="B16" s="8">
        <v>0.0</v>
      </c>
      <c r="C16" s="8">
        <v>5.0</v>
      </c>
      <c r="D16" s="9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3</v>
      </c>
      <c r="B2" s="1" t="s">
        <v>5</v>
      </c>
    </row>
    <row r="3">
      <c r="A3" s="1" t="s">
        <v>8</v>
      </c>
      <c r="B3" s="1" t="s">
        <v>10</v>
      </c>
    </row>
    <row r="4">
      <c r="A4" s="1" t="s">
        <v>11</v>
      </c>
      <c r="B4" s="1" t="s">
        <v>13</v>
      </c>
    </row>
    <row r="5">
      <c r="A5" s="1" t="s">
        <v>16</v>
      </c>
      <c r="B5" s="1" t="s">
        <v>20</v>
      </c>
    </row>
    <row r="6">
      <c r="A6" s="1" t="s">
        <v>24</v>
      </c>
      <c r="B6" s="1" t="s">
        <v>27</v>
      </c>
    </row>
    <row r="7">
      <c r="A7" s="1" t="s">
        <v>32</v>
      </c>
      <c r="B7" s="1" t="s">
        <v>35</v>
      </c>
    </row>
    <row r="8">
      <c r="A8" s="1" t="s">
        <v>39</v>
      </c>
      <c r="B8" s="1" t="s">
        <v>42</v>
      </c>
    </row>
    <row r="9">
      <c r="A9" s="1" t="s">
        <v>45</v>
      </c>
      <c r="B9" s="1" t="s">
        <v>48</v>
      </c>
    </row>
    <row r="10">
      <c r="A10" s="1" t="s">
        <v>50</v>
      </c>
      <c r="B10" s="1" t="s">
        <v>54</v>
      </c>
    </row>
    <row r="11">
      <c r="A11" s="1" t="s">
        <v>60</v>
      </c>
      <c r="B11" s="1">
        <v>94.0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5" max="5" width="33.38"/>
  </cols>
  <sheetData>
    <row r="1">
      <c r="A1" s="1" t="s">
        <v>0</v>
      </c>
      <c r="B1" s="1" t="s">
        <v>4</v>
      </c>
      <c r="C1" s="1" t="s">
        <v>6</v>
      </c>
      <c r="D1" s="1" t="s">
        <v>7</v>
      </c>
      <c r="E1" s="1" t="s">
        <v>9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26</v>
      </c>
      <c r="K1" s="1" t="s">
        <v>29</v>
      </c>
      <c r="L1" s="1" t="s">
        <v>31</v>
      </c>
      <c r="M1" s="1" t="s">
        <v>34</v>
      </c>
      <c r="N1" s="1" t="s">
        <v>37</v>
      </c>
    </row>
    <row r="2">
      <c r="A2" s="1" t="s">
        <v>41</v>
      </c>
      <c r="B2" s="1" t="s">
        <v>43</v>
      </c>
      <c r="C2" s="1" t="s">
        <v>46</v>
      </c>
      <c r="D2" s="1" t="s">
        <v>47</v>
      </c>
      <c r="E2" s="1" t="s">
        <v>49</v>
      </c>
      <c r="F2" s="1" t="s">
        <v>52</v>
      </c>
      <c r="G2" s="1" t="s">
        <v>55</v>
      </c>
      <c r="H2" s="1" t="s">
        <v>57</v>
      </c>
      <c r="I2" s="1" t="s">
        <v>59</v>
      </c>
      <c r="J2" s="1" t="s">
        <v>62</v>
      </c>
      <c r="K2" s="1" t="s">
        <v>64</v>
      </c>
      <c r="L2" s="1" t="s">
        <v>66</v>
      </c>
      <c r="M2" s="1" t="s">
        <v>68</v>
      </c>
      <c r="N2" s="5" t="s">
        <v>72</v>
      </c>
    </row>
    <row r="3">
      <c r="A3" s="1" t="s">
        <v>115</v>
      </c>
      <c r="B3" s="1" t="s">
        <v>43</v>
      </c>
      <c r="C3" s="1" t="s">
        <v>46</v>
      </c>
      <c r="D3" s="1" t="s">
        <v>47</v>
      </c>
      <c r="E3" s="1" t="s">
        <v>119</v>
      </c>
      <c r="F3" s="1" t="s">
        <v>120</v>
      </c>
      <c r="G3" s="1" t="s">
        <v>55</v>
      </c>
      <c r="H3" s="1" t="s">
        <v>57</v>
      </c>
      <c r="I3" s="1" t="s">
        <v>59</v>
      </c>
      <c r="J3" s="1" t="s">
        <v>62</v>
      </c>
      <c r="K3" s="1" t="s">
        <v>64</v>
      </c>
      <c r="L3" s="1" t="s">
        <v>66</v>
      </c>
      <c r="M3" s="1" t="s">
        <v>68</v>
      </c>
      <c r="N3" s="5" t="s">
        <v>72</v>
      </c>
    </row>
    <row r="4">
      <c r="A4" s="1" t="s">
        <v>130</v>
      </c>
      <c r="B4" s="1" t="s">
        <v>43</v>
      </c>
      <c r="C4" s="1" t="s">
        <v>46</v>
      </c>
      <c r="D4" s="1" t="s">
        <v>47</v>
      </c>
      <c r="E4" s="1" t="s">
        <v>132</v>
      </c>
      <c r="F4" s="1" t="s">
        <v>133</v>
      </c>
      <c r="G4" s="1" t="s">
        <v>135</v>
      </c>
      <c r="H4" s="1" t="s">
        <v>57</v>
      </c>
      <c r="I4" s="1" t="s">
        <v>137</v>
      </c>
      <c r="J4" s="1" t="s">
        <v>62</v>
      </c>
      <c r="K4" s="1" t="s">
        <v>64</v>
      </c>
      <c r="L4" s="1" t="s">
        <v>66</v>
      </c>
      <c r="M4" s="1" t="s">
        <v>68</v>
      </c>
      <c r="N4" s="5" t="s">
        <v>72</v>
      </c>
    </row>
    <row r="5">
      <c r="A5" s="1" t="s">
        <v>141</v>
      </c>
      <c r="B5" s="1" t="s">
        <v>43</v>
      </c>
      <c r="C5" s="1" t="s">
        <v>46</v>
      </c>
      <c r="D5" s="1" t="s">
        <v>47</v>
      </c>
      <c r="E5" s="1" t="s">
        <v>143</v>
      </c>
      <c r="F5" s="1" t="s">
        <v>145</v>
      </c>
      <c r="G5" s="1" t="s">
        <v>55</v>
      </c>
      <c r="H5" s="1" t="s">
        <v>57</v>
      </c>
      <c r="I5" s="1" t="s">
        <v>59</v>
      </c>
      <c r="J5" s="1" t="s">
        <v>62</v>
      </c>
      <c r="K5" s="1" t="s">
        <v>64</v>
      </c>
      <c r="L5" s="1" t="s">
        <v>66</v>
      </c>
      <c r="M5" s="1" t="s">
        <v>68</v>
      </c>
      <c r="N5" s="5" t="s">
        <v>72</v>
      </c>
    </row>
    <row r="6">
      <c r="A6" s="1" t="s">
        <v>148</v>
      </c>
      <c r="B6" s="1" t="s">
        <v>43</v>
      </c>
      <c r="C6" s="1" t="s">
        <v>46</v>
      </c>
      <c r="D6" s="1" t="s">
        <v>47</v>
      </c>
      <c r="E6" s="1" t="s">
        <v>149</v>
      </c>
      <c r="F6" s="1" t="s">
        <v>150</v>
      </c>
      <c r="G6" s="1" t="s">
        <v>55</v>
      </c>
      <c r="H6" s="1" t="s">
        <v>57</v>
      </c>
      <c r="I6" s="1" t="s">
        <v>59</v>
      </c>
      <c r="J6" s="1" t="s">
        <v>62</v>
      </c>
      <c r="K6" s="1" t="s">
        <v>64</v>
      </c>
      <c r="L6" s="1" t="s">
        <v>66</v>
      </c>
      <c r="M6" s="1" t="s">
        <v>68</v>
      </c>
      <c r="N6" s="5" t="s">
        <v>72</v>
      </c>
    </row>
    <row r="7">
      <c r="A7" s="1" t="s">
        <v>151</v>
      </c>
      <c r="B7" s="1" t="s">
        <v>43</v>
      </c>
      <c r="C7" s="1" t="s">
        <v>46</v>
      </c>
      <c r="D7" s="1" t="s">
        <v>47</v>
      </c>
      <c r="E7" s="1" t="s">
        <v>152</v>
      </c>
      <c r="F7" s="1" t="s">
        <v>153</v>
      </c>
      <c r="G7" s="1" t="s">
        <v>55</v>
      </c>
      <c r="H7" s="1" t="s">
        <v>57</v>
      </c>
      <c r="I7" s="1" t="s">
        <v>59</v>
      </c>
      <c r="J7" s="1" t="s">
        <v>62</v>
      </c>
      <c r="K7" s="1" t="s">
        <v>64</v>
      </c>
      <c r="L7" s="1" t="s">
        <v>66</v>
      </c>
      <c r="M7" s="1" t="s">
        <v>68</v>
      </c>
      <c r="N7" s="5" t="s">
        <v>72</v>
      </c>
    </row>
    <row r="8">
      <c r="A8" s="1" t="s">
        <v>154</v>
      </c>
      <c r="B8" s="1" t="s">
        <v>43</v>
      </c>
      <c r="C8" s="1" t="s">
        <v>46</v>
      </c>
      <c r="D8" s="1" t="s">
        <v>47</v>
      </c>
      <c r="E8" s="1" t="s">
        <v>155</v>
      </c>
      <c r="F8" s="1" t="s">
        <v>156</v>
      </c>
      <c r="G8" s="1" t="s">
        <v>55</v>
      </c>
      <c r="H8" s="1" t="s">
        <v>57</v>
      </c>
      <c r="I8" s="1" t="s">
        <v>59</v>
      </c>
      <c r="J8" s="1" t="s">
        <v>62</v>
      </c>
      <c r="K8" s="1" t="s">
        <v>64</v>
      </c>
      <c r="L8" s="1" t="s">
        <v>66</v>
      </c>
      <c r="M8" s="1" t="s">
        <v>68</v>
      </c>
      <c r="N8" s="5" t="s">
        <v>72</v>
      </c>
    </row>
    <row r="9">
      <c r="A9" s="1" t="s">
        <v>157</v>
      </c>
      <c r="B9" s="1" t="s">
        <v>43</v>
      </c>
      <c r="C9" s="1" t="s">
        <v>46</v>
      </c>
      <c r="D9" s="1" t="s">
        <v>47</v>
      </c>
      <c r="E9" s="1" t="s">
        <v>158</v>
      </c>
      <c r="F9" s="1" t="s">
        <v>159</v>
      </c>
      <c r="G9" s="1" t="s">
        <v>160</v>
      </c>
      <c r="H9" s="1" t="s">
        <v>57</v>
      </c>
      <c r="I9" s="1" t="s">
        <v>59</v>
      </c>
      <c r="J9" s="1" t="s">
        <v>62</v>
      </c>
      <c r="K9" s="1" t="s">
        <v>64</v>
      </c>
      <c r="L9" s="1" t="s">
        <v>66</v>
      </c>
      <c r="M9" s="1" t="s">
        <v>68</v>
      </c>
      <c r="N9" s="5" t="s">
        <v>72</v>
      </c>
    </row>
    <row r="10">
      <c r="A10" s="1" t="s">
        <v>161</v>
      </c>
      <c r="B10" s="1" t="s">
        <v>43</v>
      </c>
      <c r="C10" s="1" t="s">
        <v>46</v>
      </c>
      <c r="D10" s="1" t="s">
        <v>47</v>
      </c>
      <c r="E10" s="1" t="s">
        <v>162</v>
      </c>
      <c r="F10" s="1" t="s">
        <v>163</v>
      </c>
      <c r="G10" s="1" t="s">
        <v>55</v>
      </c>
      <c r="H10" s="1" t="s">
        <v>57</v>
      </c>
      <c r="I10" s="1" t="s">
        <v>59</v>
      </c>
      <c r="J10" s="1" t="s">
        <v>62</v>
      </c>
      <c r="K10" s="1" t="s">
        <v>64</v>
      </c>
      <c r="L10" s="1" t="s">
        <v>66</v>
      </c>
      <c r="M10" s="1" t="s">
        <v>68</v>
      </c>
      <c r="N10" s="5" t="s">
        <v>72</v>
      </c>
    </row>
    <row r="11">
      <c r="A11" s="1" t="s">
        <v>164</v>
      </c>
      <c r="B11" s="1" t="s">
        <v>43</v>
      </c>
      <c r="C11" s="1" t="s">
        <v>46</v>
      </c>
      <c r="D11" s="1" t="s">
        <v>47</v>
      </c>
      <c r="E11" s="1" t="s">
        <v>165</v>
      </c>
      <c r="F11" s="1" t="s">
        <v>166</v>
      </c>
      <c r="G11" s="1" t="s">
        <v>55</v>
      </c>
      <c r="H11" s="1" t="s">
        <v>57</v>
      </c>
      <c r="I11" s="1" t="s">
        <v>59</v>
      </c>
      <c r="J11" s="1" t="s">
        <v>62</v>
      </c>
      <c r="K11" s="1" t="s">
        <v>64</v>
      </c>
      <c r="L11" s="1" t="s">
        <v>66</v>
      </c>
      <c r="M11" s="1" t="s">
        <v>68</v>
      </c>
      <c r="N11" s="5" t="s">
        <v>72</v>
      </c>
    </row>
    <row r="12">
      <c r="A12" s="1" t="s">
        <v>168</v>
      </c>
      <c r="B12" s="1" t="s">
        <v>43</v>
      </c>
      <c r="C12" s="1" t="s">
        <v>46</v>
      </c>
      <c r="D12" s="1" t="s">
        <v>47</v>
      </c>
      <c r="E12" s="1" t="s">
        <v>170</v>
      </c>
      <c r="F12" s="1" t="s">
        <v>171</v>
      </c>
      <c r="G12" s="1" t="s">
        <v>55</v>
      </c>
      <c r="H12" s="1" t="s">
        <v>57</v>
      </c>
      <c r="I12" s="1" t="s">
        <v>59</v>
      </c>
      <c r="J12" s="1" t="s">
        <v>62</v>
      </c>
      <c r="K12" s="1" t="s">
        <v>64</v>
      </c>
      <c r="L12" s="1" t="s">
        <v>66</v>
      </c>
      <c r="M12" s="1" t="s">
        <v>68</v>
      </c>
      <c r="N12" s="5" t="s">
        <v>72</v>
      </c>
    </row>
    <row r="13">
      <c r="A13" s="1" t="s">
        <v>173</v>
      </c>
      <c r="B13" s="1" t="s">
        <v>43</v>
      </c>
      <c r="C13" s="1" t="s">
        <v>46</v>
      </c>
      <c r="D13" s="1" t="s">
        <v>47</v>
      </c>
      <c r="E13" s="1" t="s">
        <v>174</v>
      </c>
      <c r="F13" s="1" t="s">
        <v>175</v>
      </c>
      <c r="G13" s="1" t="s">
        <v>135</v>
      </c>
      <c r="H13" s="1" t="s">
        <v>57</v>
      </c>
      <c r="I13" s="1" t="s">
        <v>137</v>
      </c>
      <c r="J13" s="1" t="s">
        <v>62</v>
      </c>
      <c r="K13" s="1" t="s">
        <v>64</v>
      </c>
      <c r="L13" s="1" t="s">
        <v>66</v>
      </c>
      <c r="M13" s="1" t="s">
        <v>68</v>
      </c>
      <c r="N13" s="5" t="s">
        <v>72</v>
      </c>
    </row>
    <row r="14">
      <c r="A14" s="1" t="s">
        <v>176</v>
      </c>
      <c r="B14" s="1" t="s">
        <v>43</v>
      </c>
      <c r="C14" s="1" t="s">
        <v>46</v>
      </c>
      <c r="D14" s="1" t="s">
        <v>47</v>
      </c>
      <c r="E14" s="1" t="s">
        <v>177</v>
      </c>
      <c r="F14" s="1" t="s">
        <v>178</v>
      </c>
      <c r="G14" s="1" t="s">
        <v>135</v>
      </c>
      <c r="H14" s="1" t="s">
        <v>57</v>
      </c>
      <c r="I14" s="1" t="s">
        <v>137</v>
      </c>
      <c r="J14" s="1" t="s">
        <v>62</v>
      </c>
      <c r="K14" s="1" t="s">
        <v>64</v>
      </c>
      <c r="L14" s="1" t="s">
        <v>66</v>
      </c>
      <c r="M14" s="1" t="s">
        <v>68</v>
      </c>
      <c r="N14" s="5" t="s">
        <v>72</v>
      </c>
    </row>
    <row r="15">
      <c r="A15" s="1" t="s">
        <v>179</v>
      </c>
      <c r="B15" s="1" t="s">
        <v>43</v>
      </c>
      <c r="C15" s="1" t="s">
        <v>46</v>
      </c>
      <c r="D15" s="1" t="s">
        <v>47</v>
      </c>
      <c r="E15" s="1" t="s">
        <v>180</v>
      </c>
      <c r="F15" s="1" t="s">
        <v>181</v>
      </c>
      <c r="G15" s="1" t="s">
        <v>135</v>
      </c>
      <c r="H15" s="1" t="s">
        <v>57</v>
      </c>
      <c r="I15" s="1" t="s">
        <v>137</v>
      </c>
      <c r="J15" s="1" t="s">
        <v>62</v>
      </c>
      <c r="K15" s="1" t="s">
        <v>64</v>
      </c>
      <c r="L15" s="1" t="s">
        <v>66</v>
      </c>
      <c r="M15" s="1" t="s">
        <v>68</v>
      </c>
      <c r="N15" s="5" t="s">
        <v>72</v>
      </c>
    </row>
    <row r="16">
      <c r="A16" s="1" t="s">
        <v>182</v>
      </c>
      <c r="B16" s="1" t="s">
        <v>43</v>
      </c>
      <c r="C16" s="1" t="s">
        <v>46</v>
      </c>
      <c r="D16" s="1" t="s">
        <v>183</v>
      </c>
      <c r="E16" s="1" t="s">
        <v>184</v>
      </c>
      <c r="F16" s="1" t="s">
        <v>185</v>
      </c>
      <c r="G16" s="1" t="s">
        <v>186</v>
      </c>
      <c r="H16" s="1" t="s">
        <v>187</v>
      </c>
      <c r="I16" s="1" t="s">
        <v>59</v>
      </c>
      <c r="J16" s="1" t="s">
        <v>188</v>
      </c>
      <c r="K16" s="1" t="s">
        <v>64</v>
      </c>
      <c r="L16" s="1" t="s">
        <v>189</v>
      </c>
      <c r="M16" s="1" t="s">
        <v>190</v>
      </c>
      <c r="N16" s="5" t="s">
        <v>191</v>
      </c>
    </row>
    <row r="17">
      <c r="A17" s="1" t="s">
        <v>192</v>
      </c>
      <c r="B17" s="1" t="s">
        <v>43</v>
      </c>
      <c r="C17" s="1" t="s">
        <v>46</v>
      </c>
      <c r="D17" s="1" t="s">
        <v>183</v>
      </c>
      <c r="E17" s="1" t="s">
        <v>193</v>
      </c>
      <c r="F17" s="1" t="s">
        <v>194</v>
      </c>
      <c r="G17" s="1" t="s">
        <v>195</v>
      </c>
      <c r="H17" s="1" t="s">
        <v>187</v>
      </c>
      <c r="I17" s="1" t="s">
        <v>196</v>
      </c>
      <c r="J17" s="1" t="s">
        <v>188</v>
      </c>
      <c r="K17" s="1" t="s">
        <v>64</v>
      </c>
      <c r="L17" s="1" t="s">
        <v>189</v>
      </c>
      <c r="M17" s="1" t="s">
        <v>190</v>
      </c>
      <c r="N17" s="5" t="s">
        <v>191</v>
      </c>
    </row>
    <row r="18">
      <c r="A18" s="1" t="s">
        <v>197</v>
      </c>
      <c r="B18" s="1" t="s">
        <v>43</v>
      </c>
      <c r="C18" s="1" t="s">
        <v>46</v>
      </c>
      <c r="D18" s="1" t="s">
        <v>183</v>
      </c>
      <c r="E18" s="1" t="s">
        <v>198</v>
      </c>
      <c r="F18" s="1" t="s">
        <v>199</v>
      </c>
      <c r="G18" s="1" t="s">
        <v>195</v>
      </c>
      <c r="H18" s="1" t="s">
        <v>187</v>
      </c>
      <c r="I18" s="1" t="s">
        <v>59</v>
      </c>
      <c r="J18" s="1" t="s">
        <v>188</v>
      </c>
      <c r="K18" s="1" t="s">
        <v>64</v>
      </c>
      <c r="L18" s="1" t="s">
        <v>189</v>
      </c>
      <c r="M18" s="1" t="s">
        <v>190</v>
      </c>
      <c r="N18" s="5" t="s">
        <v>191</v>
      </c>
    </row>
    <row r="19">
      <c r="A19" s="1" t="s">
        <v>200</v>
      </c>
      <c r="B19" s="1" t="s">
        <v>43</v>
      </c>
      <c r="C19" s="1" t="s">
        <v>46</v>
      </c>
      <c r="D19" s="1" t="s">
        <v>183</v>
      </c>
      <c r="E19" s="1" t="s">
        <v>201</v>
      </c>
      <c r="F19" s="1" t="s">
        <v>202</v>
      </c>
      <c r="G19" s="1" t="s">
        <v>55</v>
      </c>
      <c r="H19" s="1" t="s">
        <v>187</v>
      </c>
      <c r="I19" s="1" t="s">
        <v>196</v>
      </c>
      <c r="J19" s="1" t="s">
        <v>188</v>
      </c>
      <c r="K19" s="1" t="s">
        <v>64</v>
      </c>
      <c r="L19" s="1" t="s">
        <v>189</v>
      </c>
      <c r="M19" s="1" t="s">
        <v>190</v>
      </c>
      <c r="N19" s="5" t="s">
        <v>191</v>
      </c>
    </row>
    <row r="20">
      <c r="A20" s="1" t="s">
        <v>203</v>
      </c>
      <c r="B20" s="1" t="s">
        <v>43</v>
      </c>
      <c r="C20" s="1" t="s">
        <v>46</v>
      </c>
      <c r="D20" s="1" t="s">
        <v>183</v>
      </c>
      <c r="E20" s="1" t="s">
        <v>204</v>
      </c>
      <c r="F20" s="1" t="s">
        <v>205</v>
      </c>
      <c r="G20" s="1" t="s">
        <v>186</v>
      </c>
      <c r="H20" s="1" t="s">
        <v>187</v>
      </c>
      <c r="I20" s="1" t="s">
        <v>196</v>
      </c>
      <c r="J20" s="1" t="s">
        <v>188</v>
      </c>
      <c r="K20" s="1" t="s">
        <v>64</v>
      </c>
      <c r="L20" s="1" t="s">
        <v>189</v>
      </c>
      <c r="M20" s="1" t="s">
        <v>190</v>
      </c>
      <c r="N20" s="5" t="s">
        <v>191</v>
      </c>
    </row>
    <row r="21">
      <c r="A21" s="1" t="s">
        <v>210</v>
      </c>
      <c r="B21" s="1" t="s">
        <v>43</v>
      </c>
      <c r="C21" s="1" t="s">
        <v>46</v>
      </c>
      <c r="D21" s="1" t="s">
        <v>183</v>
      </c>
      <c r="E21" s="1" t="s">
        <v>213</v>
      </c>
      <c r="F21" s="1" t="s">
        <v>215</v>
      </c>
      <c r="G21" s="1" t="s">
        <v>186</v>
      </c>
      <c r="H21" s="1" t="s">
        <v>187</v>
      </c>
      <c r="I21" s="1" t="s">
        <v>196</v>
      </c>
      <c r="J21" s="1" t="s">
        <v>188</v>
      </c>
      <c r="K21" s="1" t="s">
        <v>64</v>
      </c>
      <c r="L21" s="1" t="s">
        <v>189</v>
      </c>
      <c r="M21" s="1" t="s">
        <v>190</v>
      </c>
      <c r="N21" s="5" t="s">
        <v>191</v>
      </c>
    </row>
    <row r="22">
      <c r="A22" s="1" t="s">
        <v>226</v>
      </c>
      <c r="B22" s="1" t="s">
        <v>43</v>
      </c>
      <c r="C22" s="1" t="s">
        <v>46</v>
      </c>
      <c r="D22" s="1" t="s">
        <v>183</v>
      </c>
      <c r="E22" s="1" t="s">
        <v>231</v>
      </c>
      <c r="F22" s="1" t="s">
        <v>234</v>
      </c>
      <c r="G22" s="1" t="s">
        <v>236</v>
      </c>
      <c r="H22" s="1" t="s">
        <v>187</v>
      </c>
      <c r="I22" s="1" t="s">
        <v>59</v>
      </c>
      <c r="J22" s="1" t="s">
        <v>188</v>
      </c>
      <c r="K22" s="1" t="s">
        <v>64</v>
      </c>
      <c r="L22" s="1" t="s">
        <v>189</v>
      </c>
      <c r="M22" s="1" t="s">
        <v>190</v>
      </c>
      <c r="N22" s="5" t="s">
        <v>191</v>
      </c>
    </row>
    <row r="23">
      <c r="A23" s="1" t="s">
        <v>246</v>
      </c>
      <c r="B23" s="1" t="s">
        <v>43</v>
      </c>
      <c r="C23" s="1" t="s">
        <v>46</v>
      </c>
      <c r="D23" s="1" t="s">
        <v>183</v>
      </c>
      <c r="E23" s="1" t="s">
        <v>252</v>
      </c>
      <c r="F23" s="1" t="s">
        <v>254</v>
      </c>
      <c r="G23" s="1" t="s">
        <v>186</v>
      </c>
      <c r="H23" s="1" t="s">
        <v>187</v>
      </c>
      <c r="I23" s="1" t="s">
        <v>59</v>
      </c>
      <c r="J23" s="1" t="s">
        <v>188</v>
      </c>
      <c r="K23" s="1" t="s">
        <v>64</v>
      </c>
      <c r="L23" s="1" t="s">
        <v>189</v>
      </c>
      <c r="M23" s="1" t="s">
        <v>190</v>
      </c>
      <c r="N23" s="5" t="s">
        <v>191</v>
      </c>
    </row>
    <row r="24">
      <c r="A24" s="1" t="s">
        <v>271</v>
      </c>
      <c r="B24" s="1" t="s">
        <v>43</v>
      </c>
      <c r="C24" s="1" t="s">
        <v>46</v>
      </c>
      <c r="D24" s="1" t="s">
        <v>183</v>
      </c>
      <c r="E24" s="1" t="s">
        <v>274</v>
      </c>
      <c r="F24" s="1" t="s">
        <v>276</v>
      </c>
      <c r="G24" s="1" t="s">
        <v>278</v>
      </c>
      <c r="H24" s="1" t="s">
        <v>187</v>
      </c>
      <c r="I24" s="1" t="s">
        <v>137</v>
      </c>
      <c r="J24" s="1" t="s">
        <v>188</v>
      </c>
      <c r="K24" s="1" t="s">
        <v>64</v>
      </c>
      <c r="L24" s="1" t="s">
        <v>189</v>
      </c>
      <c r="M24" s="1" t="s">
        <v>190</v>
      </c>
      <c r="N24" s="5" t="s">
        <v>191</v>
      </c>
    </row>
    <row r="25">
      <c r="A25" s="1" t="s">
        <v>286</v>
      </c>
      <c r="B25" s="1" t="s">
        <v>43</v>
      </c>
      <c r="C25" s="1" t="s">
        <v>46</v>
      </c>
      <c r="D25" s="1" t="s">
        <v>183</v>
      </c>
      <c r="E25" s="1" t="s">
        <v>290</v>
      </c>
      <c r="F25" s="1" t="s">
        <v>292</v>
      </c>
      <c r="G25" s="1" t="s">
        <v>186</v>
      </c>
      <c r="H25" s="1" t="s">
        <v>187</v>
      </c>
      <c r="I25" s="1" t="s">
        <v>137</v>
      </c>
      <c r="J25" s="1" t="s">
        <v>188</v>
      </c>
      <c r="K25" s="1" t="s">
        <v>64</v>
      </c>
      <c r="L25" s="1" t="s">
        <v>189</v>
      </c>
      <c r="M25" s="1" t="s">
        <v>190</v>
      </c>
      <c r="N25" s="5" t="s">
        <v>191</v>
      </c>
    </row>
    <row r="26">
      <c r="A26" s="1" t="s">
        <v>293</v>
      </c>
      <c r="B26" s="1" t="s">
        <v>43</v>
      </c>
      <c r="C26" s="1" t="s">
        <v>46</v>
      </c>
      <c r="D26" s="1" t="s">
        <v>183</v>
      </c>
      <c r="E26" s="1" t="s">
        <v>294</v>
      </c>
      <c r="F26" s="1" t="s">
        <v>295</v>
      </c>
      <c r="G26" s="1" t="s">
        <v>186</v>
      </c>
      <c r="H26" s="1" t="s">
        <v>187</v>
      </c>
      <c r="I26" s="1" t="s">
        <v>59</v>
      </c>
      <c r="J26" s="1" t="s">
        <v>188</v>
      </c>
      <c r="K26" s="1" t="s">
        <v>64</v>
      </c>
      <c r="L26" s="1" t="s">
        <v>189</v>
      </c>
      <c r="M26" s="1" t="s">
        <v>190</v>
      </c>
      <c r="N26" s="5" t="s">
        <v>191</v>
      </c>
    </row>
    <row r="27">
      <c r="A27" s="1" t="s">
        <v>296</v>
      </c>
      <c r="B27" s="1" t="s">
        <v>43</v>
      </c>
      <c r="C27" s="1" t="s">
        <v>46</v>
      </c>
      <c r="D27" s="1" t="s">
        <v>183</v>
      </c>
      <c r="E27" s="1" t="s">
        <v>297</v>
      </c>
      <c r="F27" s="1" t="s">
        <v>298</v>
      </c>
      <c r="G27" s="1" t="s">
        <v>186</v>
      </c>
      <c r="H27" s="1" t="s">
        <v>187</v>
      </c>
      <c r="I27" s="1" t="s">
        <v>196</v>
      </c>
      <c r="J27" s="1" t="s">
        <v>188</v>
      </c>
      <c r="K27" s="1" t="s">
        <v>64</v>
      </c>
      <c r="L27" s="1" t="s">
        <v>189</v>
      </c>
      <c r="M27" s="1" t="s">
        <v>190</v>
      </c>
      <c r="N27" s="5" t="s">
        <v>191</v>
      </c>
    </row>
    <row r="28">
      <c r="A28" s="1" t="s">
        <v>299</v>
      </c>
      <c r="B28" s="1" t="s">
        <v>43</v>
      </c>
      <c r="C28" s="1" t="s">
        <v>46</v>
      </c>
      <c r="D28" s="1" t="s">
        <v>183</v>
      </c>
      <c r="E28" s="1" t="s">
        <v>300</v>
      </c>
      <c r="F28" s="1" t="s">
        <v>301</v>
      </c>
      <c r="G28" s="1" t="s">
        <v>186</v>
      </c>
      <c r="H28" s="1" t="s">
        <v>187</v>
      </c>
      <c r="I28" s="1" t="s">
        <v>137</v>
      </c>
      <c r="J28" s="1" t="s">
        <v>188</v>
      </c>
      <c r="K28" s="1" t="s">
        <v>64</v>
      </c>
      <c r="L28" s="1" t="s">
        <v>189</v>
      </c>
      <c r="M28" s="1" t="s">
        <v>190</v>
      </c>
      <c r="N28" s="5" t="s">
        <v>191</v>
      </c>
    </row>
    <row r="29">
      <c r="A29" s="1" t="s">
        <v>302</v>
      </c>
      <c r="B29" s="1" t="s">
        <v>43</v>
      </c>
      <c r="C29" s="1" t="s">
        <v>46</v>
      </c>
      <c r="D29" s="1" t="s">
        <v>303</v>
      </c>
      <c r="E29" s="1" t="s">
        <v>304</v>
      </c>
      <c r="F29" s="1" t="s">
        <v>305</v>
      </c>
      <c r="G29" s="1" t="s">
        <v>195</v>
      </c>
      <c r="H29" s="1" t="s">
        <v>187</v>
      </c>
      <c r="I29" s="1" t="s">
        <v>196</v>
      </c>
      <c r="J29" s="1" t="s">
        <v>188</v>
      </c>
      <c r="K29" s="1" t="s">
        <v>64</v>
      </c>
      <c r="L29" s="1" t="s">
        <v>306</v>
      </c>
      <c r="M29" s="1" t="s">
        <v>307</v>
      </c>
      <c r="N29" s="5" t="s">
        <v>308</v>
      </c>
    </row>
    <row r="30">
      <c r="A30" s="1" t="s">
        <v>337</v>
      </c>
      <c r="B30" s="1" t="s">
        <v>43</v>
      </c>
      <c r="C30" s="1" t="s">
        <v>46</v>
      </c>
      <c r="D30" s="1" t="s">
        <v>303</v>
      </c>
      <c r="E30" s="1" t="s">
        <v>338</v>
      </c>
      <c r="F30" s="1" t="s">
        <v>339</v>
      </c>
      <c r="G30" s="1" t="s">
        <v>195</v>
      </c>
      <c r="H30" s="1" t="s">
        <v>187</v>
      </c>
      <c r="I30" s="1" t="s">
        <v>59</v>
      </c>
      <c r="J30" s="1" t="s">
        <v>188</v>
      </c>
      <c r="K30" s="1" t="s">
        <v>64</v>
      </c>
      <c r="L30" s="1" t="s">
        <v>306</v>
      </c>
      <c r="M30" s="1" t="s">
        <v>307</v>
      </c>
      <c r="N30" s="5" t="s">
        <v>308</v>
      </c>
    </row>
    <row r="31">
      <c r="A31" s="1" t="s">
        <v>340</v>
      </c>
      <c r="B31" s="1" t="s">
        <v>43</v>
      </c>
      <c r="C31" s="1" t="s">
        <v>46</v>
      </c>
      <c r="D31" s="1" t="s">
        <v>303</v>
      </c>
      <c r="E31" s="1" t="s">
        <v>343</v>
      </c>
      <c r="F31" s="1" t="s">
        <v>345</v>
      </c>
      <c r="G31" s="1" t="s">
        <v>195</v>
      </c>
      <c r="H31" s="1" t="s">
        <v>187</v>
      </c>
      <c r="I31" s="1" t="s">
        <v>59</v>
      </c>
      <c r="J31" s="1" t="s">
        <v>188</v>
      </c>
      <c r="K31" s="1" t="s">
        <v>64</v>
      </c>
      <c r="L31" s="1" t="s">
        <v>306</v>
      </c>
      <c r="M31" s="1" t="s">
        <v>307</v>
      </c>
      <c r="N31" s="5" t="s">
        <v>308</v>
      </c>
    </row>
    <row r="32">
      <c r="A32" s="1" t="s">
        <v>351</v>
      </c>
      <c r="B32" s="1" t="s">
        <v>43</v>
      </c>
      <c r="C32" s="1" t="s">
        <v>46</v>
      </c>
      <c r="D32" s="1" t="s">
        <v>303</v>
      </c>
      <c r="E32" s="1" t="s">
        <v>355</v>
      </c>
      <c r="F32" s="1" t="s">
        <v>356</v>
      </c>
      <c r="G32" s="1" t="s">
        <v>195</v>
      </c>
      <c r="H32" s="1" t="s">
        <v>187</v>
      </c>
      <c r="I32" s="1" t="s">
        <v>196</v>
      </c>
      <c r="J32" s="1" t="s">
        <v>188</v>
      </c>
      <c r="K32" s="1" t="s">
        <v>64</v>
      </c>
      <c r="L32" s="1" t="s">
        <v>306</v>
      </c>
      <c r="M32" s="1" t="s">
        <v>307</v>
      </c>
      <c r="N32" s="5" t="s">
        <v>308</v>
      </c>
    </row>
    <row r="33">
      <c r="A33" s="1" t="s">
        <v>361</v>
      </c>
      <c r="B33" s="1" t="s">
        <v>43</v>
      </c>
      <c r="C33" s="1" t="s">
        <v>46</v>
      </c>
      <c r="D33" s="1" t="s">
        <v>303</v>
      </c>
      <c r="E33" s="1" t="s">
        <v>364</v>
      </c>
      <c r="F33" s="1" t="s">
        <v>365</v>
      </c>
      <c r="G33" s="1" t="s">
        <v>195</v>
      </c>
      <c r="H33" s="1" t="s">
        <v>187</v>
      </c>
      <c r="I33" s="1" t="s">
        <v>59</v>
      </c>
      <c r="J33" s="1" t="s">
        <v>188</v>
      </c>
      <c r="K33" s="1" t="s">
        <v>64</v>
      </c>
      <c r="L33" s="1" t="s">
        <v>306</v>
      </c>
      <c r="M33" s="1" t="s">
        <v>307</v>
      </c>
      <c r="N33" s="5" t="s">
        <v>308</v>
      </c>
    </row>
    <row r="34">
      <c r="A34" s="1" t="s">
        <v>366</v>
      </c>
      <c r="B34" s="1" t="s">
        <v>43</v>
      </c>
      <c r="C34" s="1" t="s">
        <v>46</v>
      </c>
      <c r="D34" s="1" t="s">
        <v>303</v>
      </c>
      <c r="E34" s="1" t="s">
        <v>367</v>
      </c>
      <c r="F34" s="1" t="s">
        <v>368</v>
      </c>
      <c r="G34" s="1" t="s">
        <v>369</v>
      </c>
      <c r="H34" s="1" t="s">
        <v>187</v>
      </c>
      <c r="I34" s="1" t="s">
        <v>59</v>
      </c>
      <c r="J34" s="1" t="s">
        <v>188</v>
      </c>
      <c r="K34" s="1" t="s">
        <v>64</v>
      </c>
      <c r="L34" s="1" t="s">
        <v>306</v>
      </c>
      <c r="M34" s="1" t="s">
        <v>307</v>
      </c>
      <c r="N34" s="5" t="s">
        <v>308</v>
      </c>
    </row>
    <row r="35">
      <c r="A35" s="1" t="s">
        <v>375</v>
      </c>
      <c r="B35" s="1" t="s">
        <v>43</v>
      </c>
      <c r="C35" s="1" t="s">
        <v>46</v>
      </c>
      <c r="D35" s="1" t="s">
        <v>303</v>
      </c>
      <c r="E35" s="1" t="s">
        <v>379</v>
      </c>
      <c r="F35" s="1" t="s">
        <v>381</v>
      </c>
      <c r="G35" s="1" t="s">
        <v>195</v>
      </c>
      <c r="H35" s="1" t="s">
        <v>187</v>
      </c>
      <c r="I35" s="1" t="s">
        <v>59</v>
      </c>
      <c r="J35" s="1" t="s">
        <v>188</v>
      </c>
      <c r="K35" s="1" t="s">
        <v>64</v>
      </c>
      <c r="L35" s="1" t="s">
        <v>306</v>
      </c>
      <c r="M35" s="1" t="s">
        <v>307</v>
      </c>
      <c r="N35" s="5" t="s">
        <v>308</v>
      </c>
    </row>
    <row r="36">
      <c r="A36" s="1" t="s">
        <v>388</v>
      </c>
      <c r="B36" s="1" t="s">
        <v>43</v>
      </c>
      <c r="C36" s="1" t="s">
        <v>46</v>
      </c>
      <c r="D36" s="1" t="s">
        <v>303</v>
      </c>
      <c r="E36" s="1" t="s">
        <v>392</v>
      </c>
      <c r="F36" s="1" t="s">
        <v>394</v>
      </c>
      <c r="G36" s="1" t="s">
        <v>195</v>
      </c>
      <c r="H36" s="1" t="s">
        <v>187</v>
      </c>
      <c r="I36" s="1" t="s">
        <v>59</v>
      </c>
      <c r="J36" s="1" t="s">
        <v>188</v>
      </c>
      <c r="K36" s="1" t="s">
        <v>64</v>
      </c>
      <c r="L36" s="1" t="s">
        <v>306</v>
      </c>
      <c r="M36" s="1" t="s">
        <v>307</v>
      </c>
      <c r="N36" s="5" t="s">
        <v>308</v>
      </c>
    </row>
    <row r="37">
      <c r="A37" s="1" t="s">
        <v>399</v>
      </c>
      <c r="B37" s="1" t="s">
        <v>43</v>
      </c>
      <c r="C37" s="1" t="s">
        <v>46</v>
      </c>
      <c r="D37" s="1" t="s">
        <v>303</v>
      </c>
      <c r="E37" s="1" t="s">
        <v>403</v>
      </c>
      <c r="F37" s="1" t="s">
        <v>405</v>
      </c>
      <c r="G37" s="1" t="s">
        <v>195</v>
      </c>
      <c r="H37" s="1" t="s">
        <v>187</v>
      </c>
      <c r="I37" s="1" t="s">
        <v>59</v>
      </c>
      <c r="J37" s="1" t="s">
        <v>188</v>
      </c>
      <c r="K37" s="1" t="s">
        <v>64</v>
      </c>
      <c r="L37" s="1" t="s">
        <v>306</v>
      </c>
      <c r="M37" s="1" t="s">
        <v>307</v>
      </c>
      <c r="N37" s="5" t="s">
        <v>308</v>
      </c>
    </row>
    <row r="38">
      <c r="A38" s="1" t="s">
        <v>412</v>
      </c>
      <c r="B38" s="1" t="s">
        <v>43</v>
      </c>
      <c r="C38" s="1" t="s">
        <v>46</v>
      </c>
      <c r="D38" s="1" t="s">
        <v>303</v>
      </c>
      <c r="E38" s="1" t="s">
        <v>416</v>
      </c>
      <c r="F38" s="1" t="s">
        <v>418</v>
      </c>
      <c r="G38" s="1" t="s">
        <v>420</v>
      </c>
      <c r="H38" s="1" t="s">
        <v>187</v>
      </c>
      <c r="I38" s="1" t="s">
        <v>59</v>
      </c>
      <c r="J38" s="1" t="s">
        <v>188</v>
      </c>
      <c r="K38" s="1" t="s">
        <v>64</v>
      </c>
      <c r="L38" s="1" t="s">
        <v>306</v>
      </c>
      <c r="M38" s="1" t="s">
        <v>307</v>
      </c>
      <c r="N38" s="5" t="s">
        <v>308</v>
      </c>
    </row>
    <row r="39">
      <c r="A39" s="1" t="s">
        <v>431</v>
      </c>
      <c r="B39" s="1" t="s">
        <v>43</v>
      </c>
      <c r="C39" s="1" t="s">
        <v>46</v>
      </c>
      <c r="D39" s="1" t="s">
        <v>303</v>
      </c>
      <c r="E39" s="1" t="s">
        <v>439</v>
      </c>
      <c r="F39" s="1" t="s">
        <v>440</v>
      </c>
      <c r="G39" s="1" t="s">
        <v>195</v>
      </c>
      <c r="H39" s="1" t="s">
        <v>187</v>
      </c>
      <c r="I39" s="1" t="s">
        <v>137</v>
      </c>
      <c r="J39" s="1" t="s">
        <v>188</v>
      </c>
      <c r="K39" s="1" t="s">
        <v>64</v>
      </c>
      <c r="L39" s="1" t="s">
        <v>306</v>
      </c>
      <c r="M39" s="1" t="s">
        <v>307</v>
      </c>
      <c r="N39" s="5" t="s">
        <v>308</v>
      </c>
    </row>
    <row r="40">
      <c r="A40" s="1" t="s">
        <v>446</v>
      </c>
      <c r="B40" s="1" t="s">
        <v>43</v>
      </c>
      <c r="C40" s="1" t="s">
        <v>46</v>
      </c>
      <c r="D40" s="1" t="s">
        <v>303</v>
      </c>
      <c r="E40" s="1" t="s">
        <v>449</v>
      </c>
      <c r="F40" s="1" t="s">
        <v>451</v>
      </c>
      <c r="G40" s="1" t="s">
        <v>195</v>
      </c>
      <c r="H40" s="1" t="s">
        <v>187</v>
      </c>
      <c r="I40" s="1" t="s">
        <v>137</v>
      </c>
      <c r="J40" s="1" t="s">
        <v>188</v>
      </c>
      <c r="K40" s="1" t="s">
        <v>64</v>
      </c>
      <c r="L40" s="1" t="s">
        <v>306</v>
      </c>
      <c r="M40" s="1" t="s">
        <v>307</v>
      </c>
      <c r="N40" s="5" t="s">
        <v>308</v>
      </c>
    </row>
    <row r="41">
      <c r="A41" s="1" t="s">
        <v>458</v>
      </c>
      <c r="B41" s="1" t="s">
        <v>43</v>
      </c>
      <c r="C41" s="1" t="s">
        <v>46</v>
      </c>
      <c r="D41" s="1" t="s">
        <v>463</v>
      </c>
      <c r="E41" s="1" t="s">
        <v>465</v>
      </c>
      <c r="F41" s="1" t="s">
        <v>466</v>
      </c>
      <c r="G41" s="1" t="s">
        <v>467</v>
      </c>
      <c r="H41" s="1" t="s">
        <v>469</v>
      </c>
      <c r="I41" s="1" t="s">
        <v>59</v>
      </c>
      <c r="J41" s="1" t="s">
        <v>471</v>
      </c>
      <c r="K41" s="1" t="s">
        <v>64</v>
      </c>
      <c r="L41" s="1" t="s">
        <v>472</v>
      </c>
      <c r="M41" s="1" t="s">
        <v>473</v>
      </c>
      <c r="N41" s="5" t="s">
        <v>474</v>
      </c>
    </row>
    <row r="42">
      <c r="A42" s="1" t="s">
        <v>481</v>
      </c>
      <c r="B42" s="1" t="s">
        <v>43</v>
      </c>
      <c r="C42" s="1" t="s">
        <v>46</v>
      </c>
      <c r="D42" s="1" t="s">
        <v>463</v>
      </c>
      <c r="E42" s="1" t="s">
        <v>482</v>
      </c>
      <c r="F42" s="1" t="s">
        <v>483</v>
      </c>
      <c r="G42" s="1" t="s">
        <v>484</v>
      </c>
      <c r="H42" s="1" t="s">
        <v>469</v>
      </c>
      <c r="I42" s="1" t="s">
        <v>59</v>
      </c>
      <c r="J42" s="1" t="s">
        <v>471</v>
      </c>
      <c r="K42" s="1" t="s">
        <v>64</v>
      </c>
      <c r="L42" s="1" t="s">
        <v>472</v>
      </c>
      <c r="M42" s="1" t="s">
        <v>473</v>
      </c>
      <c r="N42" s="5" t="s">
        <v>474</v>
      </c>
    </row>
    <row r="43">
      <c r="A43" s="1" t="s">
        <v>485</v>
      </c>
      <c r="B43" s="1" t="s">
        <v>43</v>
      </c>
      <c r="C43" s="1" t="s">
        <v>46</v>
      </c>
      <c r="D43" s="1" t="s">
        <v>463</v>
      </c>
      <c r="E43" s="1" t="s">
        <v>486</v>
      </c>
      <c r="F43" s="1" t="s">
        <v>487</v>
      </c>
      <c r="G43" s="1" t="s">
        <v>420</v>
      </c>
      <c r="H43" s="1" t="s">
        <v>469</v>
      </c>
      <c r="I43" s="1" t="s">
        <v>59</v>
      </c>
      <c r="J43" s="1" t="s">
        <v>471</v>
      </c>
      <c r="K43" s="1" t="s">
        <v>64</v>
      </c>
      <c r="L43" s="1" t="s">
        <v>472</v>
      </c>
      <c r="M43" s="1" t="s">
        <v>473</v>
      </c>
      <c r="N43" s="5" t="s">
        <v>474</v>
      </c>
    </row>
    <row r="44">
      <c r="A44" s="1" t="s">
        <v>488</v>
      </c>
      <c r="B44" s="1" t="s">
        <v>43</v>
      </c>
      <c r="C44" s="1" t="s">
        <v>46</v>
      </c>
      <c r="D44" s="1" t="s">
        <v>463</v>
      </c>
      <c r="E44" s="1" t="s">
        <v>489</v>
      </c>
      <c r="F44" s="1" t="s">
        <v>490</v>
      </c>
      <c r="G44" s="1" t="s">
        <v>484</v>
      </c>
      <c r="H44" s="1" t="s">
        <v>469</v>
      </c>
      <c r="I44" s="1" t="s">
        <v>59</v>
      </c>
      <c r="J44" s="1" t="s">
        <v>471</v>
      </c>
      <c r="K44" s="1" t="s">
        <v>64</v>
      </c>
      <c r="L44" s="1" t="s">
        <v>472</v>
      </c>
      <c r="M44" s="1" t="s">
        <v>473</v>
      </c>
      <c r="N44" s="5" t="s">
        <v>474</v>
      </c>
    </row>
    <row r="45">
      <c r="A45" s="1" t="s">
        <v>491</v>
      </c>
      <c r="B45" s="1" t="s">
        <v>43</v>
      </c>
      <c r="C45" s="1" t="s">
        <v>46</v>
      </c>
      <c r="D45" s="1" t="s">
        <v>463</v>
      </c>
      <c r="E45" s="1" t="s">
        <v>492</v>
      </c>
      <c r="F45" s="1" t="s">
        <v>493</v>
      </c>
      <c r="G45" s="1" t="s">
        <v>160</v>
      </c>
      <c r="H45" s="1" t="s">
        <v>469</v>
      </c>
      <c r="I45" s="1" t="s">
        <v>59</v>
      </c>
      <c r="J45" s="1" t="s">
        <v>471</v>
      </c>
      <c r="K45" s="1" t="s">
        <v>64</v>
      </c>
      <c r="L45" s="1" t="s">
        <v>472</v>
      </c>
      <c r="M45" s="1" t="s">
        <v>473</v>
      </c>
      <c r="N45" s="5" t="s">
        <v>474</v>
      </c>
    </row>
    <row r="46">
      <c r="A46" s="1" t="s">
        <v>494</v>
      </c>
      <c r="B46" s="1" t="s">
        <v>43</v>
      </c>
      <c r="C46" s="1" t="s">
        <v>46</v>
      </c>
      <c r="D46" s="1" t="s">
        <v>463</v>
      </c>
      <c r="E46" s="1" t="s">
        <v>496</v>
      </c>
      <c r="F46" s="1" t="s">
        <v>497</v>
      </c>
      <c r="G46" s="1" t="s">
        <v>484</v>
      </c>
      <c r="H46" s="1" t="s">
        <v>469</v>
      </c>
      <c r="I46" s="1" t="s">
        <v>196</v>
      </c>
      <c r="J46" s="1" t="s">
        <v>471</v>
      </c>
      <c r="K46" s="1" t="s">
        <v>64</v>
      </c>
      <c r="L46" s="1" t="s">
        <v>472</v>
      </c>
      <c r="M46" s="1" t="s">
        <v>473</v>
      </c>
      <c r="N46" s="5" t="s">
        <v>474</v>
      </c>
    </row>
    <row r="47">
      <c r="A47" s="1" t="s">
        <v>502</v>
      </c>
      <c r="B47" s="1" t="s">
        <v>43</v>
      </c>
      <c r="C47" s="1" t="s">
        <v>46</v>
      </c>
      <c r="D47" s="1" t="s">
        <v>463</v>
      </c>
      <c r="E47" s="1" t="s">
        <v>504</v>
      </c>
      <c r="F47" s="1" t="s">
        <v>506</v>
      </c>
      <c r="G47" s="1" t="s">
        <v>484</v>
      </c>
      <c r="H47" s="1" t="s">
        <v>469</v>
      </c>
      <c r="I47" s="1" t="s">
        <v>59</v>
      </c>
      <c r="J47" s="1" t="s">
        <v>471</v>
      </c>
      <c r="K47" s="1" t="s">
        <v>64</v>
      </c>
      <c r="L47" s="1" t="s">
        <v>472</v>
      </c>
      <c r="M47" s="1" t="s">
        <v>473</v>
      </c>
      <c r="N47" s="5" t="s">
        <v>474</v>
      </c>
    </row>
    <row r="48">
      <c r="A48" s="1" t="s">
        <v>510</v>
      </c>
      <c r="B48" s="1" t="s">
        <v>43</v>
      </c>
      <c r="C48" s="1" t="s">
        <v>46</v>
      </c>
      <c r="D48" s="1" t="s">
        <v>463</v>
      </c>
      <c r="E48" s="1" t="s">
        <v>511</v>
      </c>
      <c r="F48" s="1" t="s">
        <v>512</v>
      </c>
      <c r="G48" s="1" t="s">
        <v>484</v>
      </c>
      <c r="H48" s="1" t="s">
        <v>469</v>
      </c>
      <c r="I48" s="1" t="s">
        <v>59</v>
      </c>
      <c r="J48" s="1" t="s">
        <v>471</v>
      </c>
      <c r="K48" s="1" t="s">
        <v>64</v>
      </c>
      <c r="L48" s="1" t="s">
        <v>472</v>
      </c>
      <c r="M48" s="1" t="s">
        <v>473</v>
      </c>
      <c r="N48" s="5" t="s">
        <v>474</v>
      </c>
    </row>
    <row r="49">
      <c r="A49" s="1" t="s">
        <v>521</v>
      </c>
      <c r="B49" s="1" t="s">
        <v>43</v>
      </c>
      <c r="C49" s="1" t="s">
        <v>46</v>
      </c>
      <c r="D49" s="1" t="s">
        <v>463</v>
      </c>
      <c r="E49" s="1" t="s">
        <v>531</v>
      </c>
      <c r="F49" s="1" t="s">
        <v>534</v>
      </c>
      <c r="G49" s="1" t="s">
        <v>186</v>
      </c>
      <c r="H49" s="1" t="s">
        <v>469</v>
      </c>
      <c r="I49" s="1" t="s">
        <v>59</v>
      </c>
      <c r="J49" s="1" t="s">
        <v>471</v>
      </c>
      <c r="K49" s="1" t="s">
        <v>64</v>
      </c>
      <c r="L49" s="1" t="s">
        <v>472</v>
      </c>
      <c r="M49" s="1" t="s">
        <v>473</v>
      </c>
      <c r="N49" s="5" t="s">
        <v>474</v>
      </c>
    </row>
    <row r="50">
      <c r="A50" s="1" t="s">
        <v>537</v>
      </c>
      <c r="B50" s="1" t="s">
        <v>43</v>
      </c>
      <c r="C50" s="1" t="s">
        <v>46</v>
      </c>
      <c r="D50" s="1" t="s">
        <v>463</v>
      </c>
      <c r="E50" s="1" t="s">
        <v>538</v>
      </c>
      <c r="F50" s="1" t="s">
        <v>539</v>
      </c>
      <c r="G50" s="1" t="s">
        <v>484</v>
      </c>
      <c r="H50" s="1" t="s">
        <v>469</v>
      </c>
      <c r="I50" s="1" t="s">
        <v>59</v>
      </c>
      <c r="J50" s="1" t="s">
        <v>471</v>
      </c>
      <c r="K50" s="1" t="s">
        <v>64</v>
      </c>
      <c r="L50" s="1" t="s">
        <v>472</v>
      </c>
      <c r="M50" s="1" t="s">
        <v>473</v>
      </c>
      <c r="N50" s="5" t="s">
        <v>474</v>
      </c>
    </row>
    <row r="51">
      <c r="A51" s="1" t="s">
        <v>541</v>
      </c>
      <c r="B51" s="1" t="s">
        <v>43</v>
      </c>
      <c r="C51" s="1" t="s">
        <v>46</v>
      </c>
      <c r="D51" s="1" t="s">
        <v>463</v>
      </c>
      <c r="E51" s="1" t="s">
        <v>543</v>
      </c>
      <c r="F51" s="1" t="s">
        <v>544</v>
      </c>
      <c r="G51" s="1" t="s">
        <v>545</v>
      </c>
      <c r="H51" s="1" t="s">
        <v>469</v>
      </c>
      <c r="I51" s="1" t="s">
        <v>59</v>
      </c>
      <c r="J51" s="1" t="s">
        <v>471</v>
      </c>
      <c r="K51" s="1" t="s">
        <v>64</v>
      </c>
      <c r="L51" s="1" t="s">
        <v>472</v>
      </c>
      <c r="M51" s="1" t="s">
        <v>473</v>
      </c>
      <c r="N51" s="5" t="s">
        <v>474</v>
      </c>
    </row>
    <row r="52">
      <c r="A52" s="1" t="s">
        <v>547</v>
      </c>
      <c r="B52" s="1" t="s">
        <v>43</v>
      </c>
      <c r="C52" s="1" t="s">
        <v>46</v>
      </c>
      <c r="D52" s="1" t="s">
        <v>463</v>
      </c>
      <c r="E52" s="1" t="s">
        <v>549</v>
      </c>
      <c r="F52" s="1" t="s">
        <v>550</v>
      </c>
      <c r="G52" s="1" t="s">
        <v>484</v>
      </c>
      <c r="H52" s="1" t="s">
        <v>469</v>
      </c>
      <c r="I52" s="1" t="s">
        <v>137</v>
      </c>
      <c r="J52" s="1" t="s">
        <v>471</v>
      </c>
      <c r="K52" s="1" t="s">
        <v>64</v>
      </c>
      <c r="L52" s="1" t="s">
        <v>472</v>
      </c>
      <c r="M52" s="1" t="s">
        <v>473</v>
      </c>
      <c r="N52" s="5" t="s">
        <v>474</v>
      </c>
    </row>
    <row r="53">
      <c r="A53" s="1" t="s">
        <v>557</v>
      </c>
      <c r="B53" s="1" t="s">
        <v>43</v>
      </c>
      <c r="C53" s="1" t="s">
        <v>46</v>
      </c>
      <c r="D53" s="1" t="s">
        <v>463</v>
      </c>
      <c r="E53" s="1" t="s">
        <v>564</v>
      </c>
      <c r="F53" s="1" t="s">
        <v>567</v>
      </c>
      <c r="G53" s="1" t="s">
        <v>186</v>
      </c>
      <c r="H53" s="1" t="s">
        <v>469</v>
      </c>
      <c r="I53" s="1" t="s">
        <v>59</v>
      </c>
      <c r="J53" s="1" t="s">
        <v>471</v>
      </c>
      <c r="K53" s="1" t="s">
        <v>64</v>
      </c>
      <c r="L53" s="1" t="s">
        <v>472</v>
      </c>
      <c r="M53" s="1" t="s">
        <v>473</v>
      </c>
      <c r="N53" s="5" t="s">
        <v>474</v>
      </c>
    </row>
    <row r="54">
      <c r="A54" s="1" t="s">
        <v>575</v>
      </c>
      <c r="B54" s="1" t="s">
        <v>43</v>
      </c>
      <c r="C54" s="1" t="s">
        <v>46</v>
      </c>
      <c r="D54" s="1" t="s">
        <v>84</v>
      </c>
      <c r="E54" s="1" t="s">
        <v>580</v>
      </c>
      <c r="F54" s="1" t="s">
        <v>582</v>
      </c>
      <c r="G54" s="1" t="s">
        <v>584</v>
      </c>
      <c r="H54" s="1" t="s">
        <v>585</v>
      </c>
      <c r="I54" s="1" t="s">
        <v>196</v>
      </c>
      <c r="J54" s="1" t="s">
        <v>471</v>
      </c>
      <c r="K54" s="1" t="s">
        <v>64</v>
      </c>
      <c r="L54" s="1" t="s">
        <v>589</v>
      </c>
      <c r="M54" s="1" t="s">
        <v>535</v>
      </c>
      <c r="N54" s="5" t="s">
        <v>536</v>
      </c>
    </row>
    <row r="55">
      <c r="A55" s="1" t="s">
        <v>615</v>
      </c>
      <c r="B55" s="1" t="s">
        <v>43</v>
      </c>
      <c r="C55" s="1" t="s">
        <v>46</v>
      </c>
      <c r="D55" s="1" t="s">
        <v>84</v>
      </c>
      <c r="E55" s="1" t="s">
        <v>617</v>
      </c>
      <c r="F55" s="1" t="s">
        <v>618</v>
      </c>
      <c r="G55" s="1" t="s">
        <v>584</v>
      </c>
      <c r="H55" s="1" t="s">
        <v>585</v>
      </c>
      <c r="I55" s="1" t="s">
        <v>196</v>
      </c>
      <c r="J55" s="1" t="s">
        <v>471</v>
      </c>
      <c r="K55" s="1" t="s">
        <v>64</v>
      </c>
      <c r="L55" s="1" t="s">
        <v>589</v>
      </c>
      <c r="M55" s="1" t="s">
        <v>535</v>
      </c>
      <c r="N55" s="5" t="s">
        <v>536</v>
      </c>
    </row>
    <row r="56">
      <c r="A56" s="1" t="s">
        <v>620</v>
      </c>
      <c r="B56" s="1" t="s">
        <v>43</v>
      </c>
      <c r="C56" s="1" t="s">
        <v>46</v>
      </c>
      <c r="D56" s="1" t="s">
        <v>84</v>
      </c>
      <c r="E56" s="1" t="s">
        <v>621</v>
      </c>
      <c r="F56" s="1" t="s">
        <v>622</v>
      </c>
      <c r="G56" s="1" t="s">
        <v>584</v>
      </c>
      <c r="H56" s="1" t="s">
        <v>585</v>
      </c>
      <c r="I56" s="1" t="s">
        <v>196</v>
      </c>
      <c r="J56" s="1" t="s">
        <v>471</v>
      </c>
      <c r="K56" s="1" t="s">
        <v>64</v>
      </c>
      <c r="L56" s="1" t="s">
        <v>589</v>
      </c>
      <c r="M56" s="1" t="s">
        <v>535</v>
      </c>
      <c r="N56" s="5" t="s">
        <v>536</v>
      </c>
    </row>
    <row r="57">
      <c r="A57" s="1" t="s">
        <v>630</v>
      </c>
      <c r="B57" s="1" t="s">
        <v>43</v>
      </c>
      <c r="C57" s="1" t="s">
        <v>46</v>
      </c>
      <c r="D57" s="1" t="s">
        <v>84</v>
      </c>
      <c r="E57" s="1" t="s">
        <v>634</v>
      </c>
      <c r="F57" s="1" t="s">
        <v>636</v>
      </c>
      <c r="G57" s="1" t="s">
        <v>584</v>
      </c>
      <c r="H57" s="1" t="s">
        <v>585</v>
      </c>
      <c r="I57" s="1" t="s">
        <v>59</v>
      </c>
      <c r="J57" s="1" t="s">
        <v>471</v>
      </c>
      <c r="K57" s="1" t="s">
        <v>64</v>
      </c>
      <c r="L57" s="1" t="s">
        <v>589</v>
      </c>
      <c r="M57" s="1" t="s">
        <v>535</v>
      </c>
      <c r="N57" s="5" t="s">
        <v>536</v>
      </c>
    </row>
    <row r="58">
      <c r="A58" s="1" t="s">
        <v>642</v>
      </c>
      <c r="B58" s="1" t="s">
        <v>43</v>
      </c>
      <c r="C58" s="1" t="s">
        <v>46</v>
      </c>
      <c r="D58" s="1" t="s">
        <v>84</v>
      </c>
      <c r="E58" s="1" t="s">
        <v>643</v>
      </c>
      <c r="F58" s="1" t="s">
        <v>644</v>
      </c>
      <c r="G58" s="1" t="s">
        <v>584</v>
      </c>
      <c r="H58" s="1" t="s">
        <v>585</v>
      </c>
      <c r="I58" s="1" t="s">
        <v>59</v>
      </c>
      <c r="J58" s="1" t="s">
        <v>471</v>
      </c>
      <c r="K58" s="1" t="s">
        <v>64</v>
      </c>
      <c r="L58" s="1" t="s">
        <v>589</v>
      </c>
      <c r="M58" s="1" t="s">
        <v>535</v>
      </c>
      <c r="N58" s="5" t="s">
        <v>536</v>
      </c>
    </row>
    <row r="59">
      <c r="A59" s="1" t="s">
        <v>649</v>
      </c>
      <c r="B59" s="1" t="s">
        <v>43</v>
      </c>
      <c r="C59" s="1" t="s">
        <v>46</v>
      </c>
      <c r="D59" s="1" t="s">
        <v>84</v>
      </c>
      <c r="E59" s="1" t="s">
        <v>651</v>
      </c>
      <c r="F59" s="1" t="s">
        <v>652</v>
      </c>
      <c r="G59" s="1" t="s">
        <v>584</v>
      </c>
      <c r="H59" s="1" t="s">
        <v>585</v>
      </c>
      <c r="I59" s="1" t="s">
        <v>196</v>
      </c>
      <c r="J59" s="1" t="s">
        <v>471</v>
      </c>
      <c r="K59" s="1" t="s">
        <v>64</v>
      </c>
      <c r="L59" s="1" t="s">
        <v>589</v>
      </c>
      <c r="M59" s="1" t="s">
        <v>535</v>
      </c>
      <c r="N59" s="5" t="s">
        <v>536</v>
      </c>
    </row>
    <row r="60">
      <c r="A60" s="1" t="s">
        <v>653</v>
      </c>
      <c r="B60" s="1" t="s">
        <v>43</v>
      </c>
      <c r="C60" s="1" t="s">
        <v>46</v>
      </c>
      <c r="D60" s="1" t="s">
        <v>84</v>
      </c>
      <c r="E60" s="1" t="s">
        <v>654</v>
      </c>
      <c r="F60" s="1" t="s">
        <v>655</v>
      </c>
      <c r="G60" s="1" t="s">
        <v>584</v>
      </c>
      <c r="H60" s="1" t="s">
        <v>585</v>
      </c>
      <c r="I60" s="1" t="s">
        <v>59</v>
      </c>
      <c r="J60" s="1" t="s">
        <v>471</v>
      </c>
      <c r="K60" s="1" t="s">
        <v>64</v>
      </c>
      <c r="L60" s="1" t="s">
        <v>589</v>
      </c>
      <c r="M60" s="1" t="s">
        <v>535</v>
      </c>
      <c r="N60" s="5" t="s">
        <v>536</v>
      </c>
    </row>
    <row r="61">
      <c r="A61" s="1" t="s">
        <v>657</v>
      </c>
      <c r="B61" s="1" t="s">
        <v>43</v>
      </c>
      <c r="C61" s="1" t="s">
        <v>46</v>
      </c>
      <c r="D61" s="1" t="s">
        <v>84</v>
      </c>
      <c r="E61" s="1" t="s">
        <v>661</v>
      </c>
      <c r="F61" s="1" t="s">
        <v>662</v>
      </c>
      <c r="G61" s="1" t="s">
        <v>584</v>
      </c>
      <c r="H61" s="1" t="s">
        <v>585</v>
      </c>
      <c r="I61" s="1" t="s">
        <v>196</v>
      </c>
      <c r="J61" s="1" t="s">
        <v>471</v>
      </c>
      <c r="K61" s="1" t="s">
        <v>64</v>
      </c>
      <c r="L61" s="1" t="s">
        <v>589</v>
      </c>
      <c r="M61" s="1" t="s">
        <v>535</v>
      </c>
      <c r="N61" s="5" t="s">
        <v>536</v>
      </c>
    </row>
    <row r="62">
      <c r="A62" s="1" t="s">
        <v>669</v>
      </c>
      <c r="B62" s="1" t="s">
        <v>43</v>
      </c>
      <c r="C62" s="1" t="s">
        <v>46</v>
      </c>
      <c r="D62" s="1" t="s">
        <v>84</v>
      </c>
      <c r="E62" s="1" t="s">
        <v>671</v>
      </c>
      <c r="F62" s="1" t="s">
        <v>672</v>
      </c>
      <c r="G62" s="1" t="s">
        <v>674</v>
      </c>
      <c r="H62" s="1" t="s">
        <v>585</v>
      </c>
      <c r="I62" s="1" t="s">
        <v>59</v>
      </c>
      <c r="J62" s="1" t="s">
        <v>471</v>
      </c>
      <c r="K62" s="1" t="s">
        <v>64</v>
      </c>
      <c r="L62" s="1" t="s">
        <v>589</v>
      </c>
      <c r="M62" s="1" t="s">
        <v>535</v>
      </c>
      <c r="N62" s="5" t="s">
        <v>536</v>
      </c>
    </row>
    <row r="63">
      <c r="A63" s="1" t="s">
        <v>677</v>
      </c>
      <c r="B63" s="1" t="s">
        <v>43</v>
      </c>
      <c r="C63" s="1" t="s">
        <v>46</v>
      </c>
      <c r="D63" s="1" t="s">
        <v>84</v>
      </c>
      <c r="E63" s="1" t="s">
        <v>678</v>
      </c>
      <c r="F63" s="1" t="s">
        <v>679</v>
      </c>
      <c r="G63" s="1" t="s">
        <v>584</v>
      </c>
      <c r="H63" s="1" t="s">
        <v>585</v>
      </c>
      <c r="I63" s="1" t="s">
        <v>59</v>
      </c>
      <c r="J63" s="1" t="s">
        <v>471</v>
      </c>
      <c r="K63" s="1" t="s">
        <v>64</v>
      </c>
      <c r="L63" s="1" t="s">
        <v>589</v>
      </c>
      <c r="M63" s="1" t="s">
        <v>535</v>
      </c>
      <c r="N63" s="5" t="s">
        <v>536</v>
      </c>
    </row>
    <row r="64">
      <c r="A64" s="1" t="s">
        <v>680</v>
      </c>
      <c r="B64" s="1" t="s">
        <v>43</v>
      </c>
      <c r="C64" s="1" t="s">
        <v>46</v>
      </c>
      <c r="D64" s="1" t="s">
        <v>84</v>
      </c>
      <c r="E64" s="1" t="s">
        <v>681</v>
      </c>
      <c r="F64" s="1" t="s">
        <v>682</v>
      </c>
      <c r="G64" s="1" t="s">
        <v>584</v>
      </c>
      <c r="H64" s="1" t="s">
        <v>585</v>
      </c>
      <c r="I64" s="1" t="s">
        <v>137</v>
      </c>
      <c r="J64" s="1" t="s">
        <v>471</v>
      </c>
      <c r="K64" s="1" t="s">
        <v>64</v>
      </c>
      <c r="L64" s="1" t="s">
        <v>589</v>
      </c>
      <c r="M64" s="1" t="s">
        <v>535</v>
      </c>
      <c r="N64" s="5" t="s">
        <v>536</v>
      </c>
    </row>
    <row r="65">
      <c r="A65" s="1" t="s">
        <v>683</v>
      </c>
      <c r="B65" s="1" t="s">
        <v>43</v>
      </c>
      <c r="C65" s="1" t="s">
        <v>46</v>
      </c>
      <c r="D65" s="1" t="s">
        <v>559</v>
      </c>
      <c r="E65" s="1" t="s">
        <v>685</v>
      </c>
      <c r="F65" s="1" t="s">
        <v>686</v>
      </c>
      <c r="G65" s="1" t="s">
        <v>687</v>
      </c>
      <c r="H65" s="1" t="s">
        <v>689</v>
      </c>
      <c r="I65" s="1" t="s">
        <v>196</v>
      </c>
      <c r="J65" s="1" t="s">
        <v>188</v>
      </c>
      <c r="K65" s="1" t="s">
        <v>64</v>
      </c>
      <c r="L65" s="1" t="s">
        <v>693</v>
      </c>
      <c r="M65" s="1" t="s">
        <v>561</v>
      </c>
      <c r="N65" s="5" t="s">
        <v>565</v>
      </c>
    </row>
    <row r="66">
      <c r="A66" s="1" t="s">
        <v>733</v>
      </c>
      <c r="B66" s="1" t="s">
        <v>43</v>
      </c>
      <c r="C66" s="1" t="s">
        <v>46</v>
      </c>
      <c r="D66" s="1" t="s">
        <v>559</v>
      </c>
      <c r="E66" s="1" t="s">
        <v>736</v>
      </c>
      <c r="F66" s="1" t="s">
        <v>737</v>
      </c>
      <c r="G66" s="1" t="s">
        <v>687</v>
      </c>
      <c r="H66" s="1" t="s">
        <v>689</v>
      </c>
      <c r="I66" s="1" t="s">
        <v>59</v>
      </c>
      <c r="J66" s="1" t="s">
        <v>188</v>
      </c>
      <c r="K66" s="1" t="s">
        <v>64</v>
      </c>
      <c r="L66" s="1" t="s">
        <v>693</v>
      </c>
      <c r="M66" s="1" t="s">
        <v>561</v>
      </c>
      <c r="N66" s="5" t="s">
        <v>565</v>
      </c>
    </row>
    <row r="67">
      <c r="A67" s="1" t="s">
        <v>738</v>
      </c>
      <c r="B67" s="1" t="s">
        <v>43</v>
      </c>
      <c r="C67" s="1" t="s">
        <v>46</v>
      </c>
      <c r="D67" s="1" t="s">
        <v>559</v>
      </c>
      <c r="E67" s="1" t="s">
        <v>742</v>
      </c>
      <c r="F67" s="1" t="s">
        <v>744</v>
      </c>
      <c r="G67" s="1" t="s">
        <v>687</v>
      </c>
      <c r="H67" s="1" t="s">
        <v>689</v>
      </c>
      <c r="I67" s="1" t="s">
        <v>59</v>
      </c>
      <c r="J67" s="1" t="s">
        <v>188</v>
      </c>
      <c r="K67" s="1" t="s">
        <v>64</v>
      </c>
      <c r="L67" s="1" t="s">
        <v>693</v>
      </c>
      <c r="M67" s="1" t="s">
        <v>561</v>
      </c>
      <c r="N67" s="5" t="s">
        <v>565</v>
      </c>
    </row>
    <row r="68">
      <c r="A68" s="1" t="s">
        <v>756</v>
      </c>
      <c r="B68" s="1" t="s">
        <v>43</v>
      </c>
      <c r="C68" s="1" t="s">
        <v>46</v>
      </c>
      <c r="D68" s="1" t="s">
        <v>559</v>
      </c>
      <c r="E68" s="1" t="s">
        <v>758</v>
      </c>
      <c r="F68" s="1" t="s">
        <v>759</v>
      </c>
      <c r="G68" s="1" t="s">
        <v>687</v>
      </c>
      <c r="H68" s="1" t="s">
        <v>689</v>
      </c>
      <c r="I68" s="1" t="s">
        <v>59</v>
      </c>
      <c r="J68" s="1" t="s">
        <v>188</v>
      </c>
      <c r="K68" s="1" t="s">
        <v>64</v>
      </c>
      <c r="L68" s="1" t="s">
        <v>693</v>
      </c>
      <c r="M68" s="1" t="s">
        <v>561</v>
      </c>
      <c r="N68" s="5" t="s">
        <v>565</v>
      </c>
    </row>
    <row r="69">
      <c r="A69" s="1" t="s">
        <v>768</v>
      </c>
      <c r="B69" s="1" t="s">
        <v>43</v>
      </c>
      <c r="C69" s="1" t="s">
        <v>46</v>
      </c>
      <c r="D69" s="1" t="s">
        <v>559</v>
      </c>
      <c r="E69" s="1" t="s">
        <v>773</v>
      </c>
      <c r="F69" s="1" t="s">
        <v>774</v>
      </c>
      <c r="G69" s="1" t="s">
        <v>687</v>
      </c>
      <c r="H69" s="1" t="s">
        <v>689</v>
      </c>
      <c r="I69" s="1" t="s">
        <v>59</v>
      </c>
      <c r="J69" s="1" t="s">
        <v>188</v>
      </c>
      <c r="K69" s="1" t="s">
        <v>64</v>
      </c>
      <c r="L69" s="1" t="s">
        <v>693</v>
      </c>
      <c r="M69" s="1" t="s">
        <v>561</v>
      </c>
      <c r="N69" s="5" t="s">
        <v>565</v>
      </c>
    </row>
    <row r="70">
      <c r="A70" s="1" t="s">
        <v>778</v>
      </c>
      <c r="B70" s="1" t="s">
        <v>43</v>
      </c>
      <c r="C70" s="1" t="s">
        <v>46</v>
      </c>
      <c r="D70" s="1" t="s">
        <v>559</v>
      </c>
      <c r="E70" s="1" t="s">
        <v>779</v>
      </c>
      <c r="F70" s="1" t="s">
        <v>780</v>
      </c>
      <c r="G70" s="1" t="s">
        <v>687</v>
      </c>
      <c r="H70" s="1" t="s">
        <v>689</v>
      </c>
      <c r="I70" s="1" t="s">
        <v>59</v>
      </c>
      <c r="J70" s="1" t="s">
        <v>188</v>
      </c>
      <c r="K70" s="1" t="s">
        <v>64</v>
      </c>
      <c r="L70" s="1" t="s">
        <v>693</v>
      </c>
      <c r="M70" s="1" t="s">
        <v>561</v>
      </c>
      <c r="N70" s="5" t="s">
        <v>565</v>
      </c>
    </row>
    <row r="71">
      <c r="A71" s="1" t="s">
        <v>781</v>
      </c>
      <c r="B71" s="1" t="s">
        <v>43</v>
      </c>
      <c r="C71" s="1" t="s">
        <v>46</v>
      </c>
      <c r="D71" s="1" t="s">
        <v>559</v>
      </c>
      <c r="E71" s="1" t="s">
        <v>783</v>
      </c>
      <c r="F71" s="1" t="s">
        <v>784</v>
      </c>
      <c r="G71" s="1" t="s">
        <v>687</v>
      </c>
      <c r="H71" s="1" t="s">
        <v>689</v>
      </c>
      <c r="I71" s="1" t="s">
        <v>59</v>
      </c>
      <c r="J71" s="1" t="s">
        <v>188</v>
      </c>
      <c r="K71" s="1" t="s">
        <v>64</v>
      </c>
      <c r="L71" s="1" t="s">
        <v>693</v>
      </c>
      <c r="M71" s="1" t="s">
        <v>561</v>
      </c>
      <c r="N71" s="5" t="s">
        <v>565</v>
      </c>
    </row>
    <row r="72">
      <c r="A72" s="1" t="s">
        <v>790</v>
      </c>
      <c r="B72" s="1" t="s">
        <v>43</v>
      </c>
      <c r="C72" s="1" t="s">
        <v>46</v>
      </c>
      <c r="D72" s="1" t="s">
        <v>559</v>
      </c>
      <c r="E72" s="1" t="s">
        <v>792</v>
      </c>
      <c r="F72" s="1" t="s">
        <v>793</v>
      </c>
      <c r="G72" s="1" t="s">
        <v>687</v>
      </c>
      <c r="H72" s="1" t="s">
        <v>689</v>
      </c>
      <c r="I72" s="1" t="s">
        <v>59</v>
      </c>
      <c r="J72" s="1" t="s">
        <v>188</v>
      </c>
      <c r="K72" s="1" t="s">
        <v>64</v>
      </c>
      <c r="L72" s="1" t="s">
        <v>693</v>
      </c>
      <c r="M72" s="1" t="s">
        <v>561</v>
      </c>
      <c r="N72" s="5" t="s">
        <v>565</v>
      </c>
    </row>
    <row r="73">
      <c r="A73" s="1" t="s">
        <v>797</v>
      </c>
      <c r="B73" s="1" t="s">
        <v>43</v>
      </c>
      <c r="C73" s="1" t="s">
        <v>46</v>
      </c>
      <c r="D73" s="1" t="s">
        <v>559</v>
      </c>
      <c r="E73" s="1" t="s">
        <v>800</v>
      </c>
      <c r="F73" s="1" t="s">
        <v>801</v>
      </c>
      <c r="G73" s="1" t="s">
        <v>687</v>
      </c>
      <c r="H73" s="1" t="s">
        <v>689</v>
      </c>
      <c r="I73" s="1" t="s">
        <v>59</v>
      </c>
      <c r="J73" s="1" t="s">
        <v>188</v>
      </c>
      <c r="K73" s="1" t="s">
        <v>64</v>
      </c>
      <c r="L73" s="1" t="s">
        <v>693</v>
      </c>
      <c r="M73" s="1" t="s">
        <v>561</v>
      </c>
      <c r="N73" s="5" t="s">
        <v>565</v>
      </c>
    </row>
    <row r="74">
      <c r="A74" s="1" t="s">
        <v>808</v>
      </c>
      <c r="B74" s="1" t="s">
        <v>43</v>
      </c>
      <c r="C74" s="1" t="s">
        <v>46</v>
      </c>
      <c r="D74" s="1" t="s">
        <v>559</v>
      </c>
      <c r="E74" s="1" t="s">
        <v>811</v>
      </c>
      <c r="F74" s="1" t="s">
        <v>813</v>
      </c>
      <c r="G74" s="1" t="s">
        <v>815</v>
      </c>
      <c r="H74" s="1" t="s">
        <v>689</v>
      </c>
      <c r="I74" s="1" t="s">
        <v>59</v>
      </c>
      <c r="J74" s="1" t="s">
        <v>188</v>
      </c>
      <c r="K74" s="1" t="s">
        <v>64</v>
      </c>
      <c r="L74" s="1" t="s">
        <v>693</v>
      </c>
      <c r="M74" s="1" t="s">
        <v>561</v>
      </c>
      <c r="N74" s="5" t="s">
        <v>565</v>
      </c>
    </row>
    <row r="75">
      <c r="A75" s="1" t="s">
        <v>818</v>
      </c>
      <c r="B75" s="1" t="s">
        <v>43</v>
      </c>
      <c r="C75" s="1" t="s">
        <v>46</v>
      </c>
      <c r="D75" s="1" t="s">
        <v>559</v>
      </c>
      <c r="E75" s="1" t="s">
        <v>822</v>
      </c>
      <c r="F75" s="1" t="s">
        <v>823</v>
      </c>
      <c r="G75" s="1" t="s">
        <v>687</v>
      </c>
      <c r="H75" s="1" t="s">
        <v>689</v>
      </c>
      <c r="I75" s="1" t="s">
        <v>59</v>
      </c>
      <c r="J75" s="1" t="s">
        <v>188</v>
      </c>
      <c r="K75" s="1" t="s">
        <v>64</v>
      </c>
      <c r="L75" s="1" t="s">
        <v>693</v>
      </c>
      <c r="M75" s="1" t="s">
        <v>561</v>
      </c>
      <c r="N75" s="5" t="s">
        <v>565</v>
      </c>
    </row>
    <row r="76">
      <c r="A76" s="1" t="s">
        <v>829</v>
      </c>
      <c r="B76" s="1" t="s">
        <v>43</v>
      </c>
      <c r="C76" s="1" t="s">
        <v>46</v>
      </c>
      <c r="D76" s="1" t="s">
        <v>559</v>
      </c>
      <c r="E76" s="1" t="s">
        <v>830</v>
      </c>
      <c r="F76" s="1" t="s">
        <v>831</v>
      </c>
      <c r="G76" s="1" t="s">
        <v>687</v>
      </c>
      <c r="H76" s="1" t="s">
        <v>689</v>
      </c>
      <c r="I76" s="1" t="s">
        <v>137</v>
      </c>
      <c r="J76" s="1" t="s">
        <v>188</v>
      </c>
      <c r="K76" s="1" t="s">
        <v>64</v>
      </c>
      <c r="L76" s="1" t="s">
        <v>693</v>
      </c>
      <c r="M76" s="1" t="s">
        <v>561</v>
      </c>
      <c r="N76" s="5" t="s">
        <v>565</v>
      </c>
    </row>
    <row r="77">
      <c r="A77" s="1" t="s">
        <v>839</v>
      </c>
      <c r="B77" s="1" t="s">
        <v>43</v>
      </c>
      <c r="C77" s="1" t="s">
        <v>46</v>
      </c>
      <c r="D77" s="1" t="s">
        <v>116</v>
      </c>
      <c r="E77" s="1" t="s">
        <v>843</v>
      </c>
      <c r="F77" s="1" t="s">
        <v>845</v>
      </c>
      <c r="G77" s="1" t="s">
        <v>846</v>
      </c>
      <c r="H77" s="1" t="s">
        <v>847</v>
      </c>
      <c r="I77" s="1" t="s">
        <v>59</v>
      </c>
      <c r="J77" s="1" t="s">
        <v>848</v>
      </c>
      <c r="K77" s="1" t="s">
        <v>64</v>
      </c>
      <c r="L77" s="1" t="s">
        <v>851</v>
      </c>
      <c r="M77" s="1" t="s">
        <v>607</v>
      </c>
      <c r="N77" s="5" t="s">
        <v>565</v>
      </c>
    </row>
    <row r="78">
      <c r="A78" s="1" t="s">
        <v>857</v>
      </c>
      <c r="B78" s="1" t="s">
        <v>43</v>
      </c>
      <c r="C78" s="1" t="s">
        <v>46</v>
      </c>
      <c r="D78" s="1" t="s">
        <v>116</v>
      </c>
      <c r="E78" s="1" t="s">
        <v>860</v>
      </c>
      <c r="F78" s="1" t="s">
        <v>861</v>
      </c>
      <c r="G78" s="1" t="s">
        <v>369</v>
      </c>
      <c r="H78" s="1" t="s">
        <v>847</v>
      </c>
      <c r="I78" s="1" t="s">
        <v>59</v>
      </c>
      <c r="J78" s="1" t="s">
        <v>848</v>
      </c>
      <c r="K78" s="1" t="s">
        <v>64</v>
      </c>
      <c r="L78" s="1" t="s">
        <v>851</v>
      </c>
      <c r="M78" s="1" t="s">
        <v>607</v>
      </c>
      <c r="N78" s="5" t="s">
        <v>565</v>
      </c>
    </row>
    <row r="79">
      <c r="A79" s="1" t="s">
        <v>865</v>
      </c>
      <c r="B79" s="1" t="s">
        <v>43</v>
      </c>
      <c r="C79" s="1" t="s">
        <v>46</v>
      </c>
      <c r="D79" s="1" t="s">
        <v>116</v>
      </c>
      <c r="E79" s="1" t="s">
        <v>868</v>
      </c>
      <c r="F79" s="1" t="s">
        <v>870</v>
      </c>
      <c r="G79" s="1" t="s">
        <v>871</v>
      </c>
      <c r="H79" s="1" t="s">
        <v>847</v>
      </c>
      <c r="I79" s="1" t="s">
        <v>196</v>
      </c>
      <c r="J79" s="1" t="s">
        <v>848</v>
      </c>
      <c r="K79" s="1" t="s">
        <v>64</v>
      </c>
      <c r="L79" s="1" t="s">
        <v>851</v>
      </c>
      <c r="M79" s="1" t="s">
        <v>607</v>
      </c>
      <c r="N79" s="5" t="s">
        <v>565</v>
      </c>
    </row>
    <row r="80">
      <c r="A80" s="1" t="s">
        <v>877</v>
      </c>
      <c r="B80" s="1" t="s">
        <v>43</v>
      </c>
      <c r="C80" s="1" t="s">
        <v>46</v>
      </c>
      <c r="D80" s="1" t="s">
        <v>116</v>
      </c>
      <c r="E80" s="1" t="s">
        <v>879</v>
      </c>
      <c r="F80" s="1" t="s">
        <v>880</v>
      </c>
      <c r="G80" s="1" t="s">
        <v>846</v>
      </c>
      <c r="H80" s="1" t="s">
        <v>847</v>
      </c>
      <c r="I80" s="1" t="s">
        <v>59</v>
      </c>
      <c r="J80" s="1" t="s">
        <v>848</v>
      </c>
      <c r="K80" s="1" t="s">
        <v>64</v>
      </c>
      <c r="L80" s="1" t="s">
        <v>851</v>
      </c>
      <c r="M80" s="1" t="s">
        <v>607</v>
      </c>
      <c r="N80" s="5" t="s">
        <v>565</v>
      </c>
    </row>
    <row r="81">
      <c r="A81" s="1" t="s">
        <v>883</v>
      </c>
      <c r="B81" s="1" t="s">
        <v>43</v>
      </c>
      <c r="C81" s="1" t="s">
        <v>46</v>
      </c>
      <c r="D81" s="1" t="s">
        <v>116</v>
      </c>
      <c r="E81" s="1" t="s">
        <v>885</v>
      </c>
      <c r="F81" s="1" t="s">
        <v>886</v>
      </c>
      <c r="G81" s="1" t="s">
        <v>846</v>
      </c>
      <c r="H81" s="1" t="s">
        <v>847</v>
      </c>
      <c r="I81" s="1" t="s">
        <v>59</v>
      </c>
      <c r="J81" s="1" t="s">
        <v>848</v>
      </c>
      <c r="K81" s="1" t="s">
        <v>64</v>
      </c>
      <c r="L81" s="1" t="s">
        <v>851</v>
      </c>
      <c r="M81" s="1" t="s">
        <v>607</v>
      </c>
      <c r="N81" s="5" t="s">
        <v>565</v>
      </c>
    </row>
    <row r="82">
      <c r="A82" s="1" t="s">
        <v>893</v>
      </c>
      <c r="B82" s="1" t="s">
        <v>43</v>
      </c>
      <c r="C82" s="1" t="s">
        <v>46</v>
      </c>
      <c r="D82" s="1" t="s">
        <v>116</v>
      </c>
      <c r="E82" s="1" t="s">
        <v>895</v>
      </c>
      <c r="F82" s="1" t="s">
        <v>896</v>
      </c>
      <c r="G82" s="1" t="s">
        <v>846</v>
      </c>
      <c r="H82" s="1" t="s">
        <v>847</v>
      </c>
      <c r="I82" s="1" t="s">
        <v>59</v>
      </c>
      <c r="J82" s="1" t="s">
        <v>848</v>
      </c>
      <c r="K82" s="1" t="s">
        <v>64</v>
      </c>
      <c r="L82" s="1" t="s">
        <v>851</v>
      </c>
      <c r="M82" s="1" t="s">
        <v>607</v>
      </c>
      <c r="N82" s="5" t="s">
        <v>565</v>
      </c>
    </row>
    <row r="83">
      <c r="A83" s="1" t="s">
        <v>903</v>
      </c>
      <c r="B83" s="1" t="s">
        <v>43</v>
      </c>
      <c r="C83" s="1" t="s">
        <v>46</v>
      </c>
      <c r="D83" s="1" t="s">
        <v>116</v>
      </c>
      <c r="E83" s="1" t="s">
        <v>906</v>
      </c>
      <c r="F83" s="1" t="s">
        <v>907</v>
      </c>
      <c r="G83" s="1" t="s">
        <v>846</v>
      </c>
      <c r="H83" s="1" t="s">
        <v>847</v>
      </c>
      <c r="I83" s="1" t="s">
        <v>59</v>
      </c>
      <c r="J83" s="1" t="s">
        <v>848</v>
      </c>
      <c r="K83" s="1" t="s">
        <v>64</v>
      </c>
      <c r="L83" s="1" t="s">
        <v>851</v>
      </c>
      <c r="M83" s="1" t="s">
        <v>607</v>
      </c>
      <c r="N83" s="5" t="s">
        <v>565</v>
      </c>
    </row>
    <row r="84">
      <c r="A84" s="1" t="s">
        <v>911</v>
      </c>
      <c r="B84" s="1" t="s">
        <v>43</v>
      </c>
      <c r="C84" s="1" t="s">
        <v>46</v>
      </c>
      <c r="D84" s="1" t="s">
        <v>116</v>
      </c>
      <c r="E84" s="1" t="s">
        <v>913</v>
      </c>
      <c r="F84" s="1" t="s">
        <v>914</v>
      </c>
      <c r="G84" s="1" t="s">
        <v>846</v>
      </c>
      <c r="H84" s="1" t="s">
        <v>847</v>
      </c>
      <c r="I84" s="1" t="s">
        <v>137</v>
      </c>
      <c r="J84" s="1" t="s">
        <v>848</v>
      </c>
      <c r="K84" s="1" t="s">
        <v>64</v>
      </c>
      <c r="L84" s="1" t="s">
        <v>851</v>
      </c>
      <c r="M84" s="1" t="s">
        <v>607</v>
      </c>
      <c r="N84" s="5" t="s">
        <v>565</v>
      </c>
    </row>
    <row r="85">
      <c r="A85" s="1" t="s">
        <v>918</v>
      </c>
      <c r="B85" s="1" t="s">
        <v>43</v>
      </c>
      <c r="C85" s="1" t="s">
        <v>46</v>
      </c>
      <c r="D85" s="1" t="s">
        <v>610</v>
      </c>
      <c r="E85" s="1" t="s">
        <v>921</v>
      </c>
      <c r="F85" s="1" t="s">
        <v>922</v>
      </c>
      <c r="G85" s="1" t="s">
        <v>923</v>
      </c>
      <c r="H85" s="1" t="s">
        <v>187</v>
      </c>
      <c r="I85" s="1" t="s">
        <v>59</v>
      </c>
      <c r="J85" s="1" t="s">
        <v>188</v>
      </c>
      <c r="K85" s="1" t="s">
        <v>64</v>
      </c>
      <c r="L85" s="1" t="s">
        <v>926</v>
      </c>
      <c r="M85" s="1" t="s">
        <v>611</v>
      </c>
      <c r="N85" s="5" t="s">
        <v>613</v>
      </c>
    </row>
    <row r="86">
      <c r="A86" s="1" t="s">
        <v>943</v>
      </c>
      <c r="B86" s="1" t="s">
        <v>43</v>
      </c>
      <c r="C86" s="1" t="s">
        <v>46</v>
      </c>
      <c r="D86" s="1" t="s">
        <v>610</v>
      </c>
      <c r="E86" s="1" t="s">
        <v>945</v>
      </c>
      <c r="F86" s="1" t="s">
        <v>947</v>
      </c>
      <c r="G86" s="1" t="s">
        <v>923</v>
      </c>
      <c r="H86" s="1" t="s">
        <v>187</v>
      </c>
      <c r="I86" s="1" t="s">
        <v>59</v>
      </c>
      <c r="J86" s="1" t="s">
        <v>188</v>
      </c>
      <c r="K86" s="1" t="s">
        <v>64</v>
      </c>
      <c r="L86" s="1" t="s">
        <v>926</v>
      </c>
      <c r="M86" s="1" t="s">
        <v>611</v>
      </c>
      <c r="N86" s="5" t="s">
        <v>613</v>
      </c>
    </row>
    <row r="87">
      <c r="A87" s="1" t="s">
        <v>953</v>
      </c>
      <c r="B87" s="1" t="s">
        <v>43</v>
      </c>
      <c r="C87" s="1" t="s">
        <v>46</v>
      </c>
      <c r="D87" s="1" t="s">
        <v>610</v>
      </c>
      <c r="E87" s="1" t="s">
        <v>957</v>
      </c>
      <c r="F87" s="1" t="s">
        <v>958</v>
      </c>
      <c r="G87" s="1" t="s">
        <v>923</v>
      </c>
      <c r="H87" s="1" t="s">
        <v>187</v>
      </c>
      <c r="I87" s="1" t="s">
        <v>59</v>
      </c>
      <c r="J87" s="1" t="s">
        <v>188</v>
      </c>
      <c r="K87" s="1" t="s">
        <v>64</v>
      </c>
      <c r="L87" s="1" t="s">
        <v>926</v>
      </c>
      <c r="M87" s="1" t="s">
        <v>611</v>
      </c>
      <c r="N87" s="5" t="s">
        <v>613</v>
      </c>
    </row>
    <row r="88">
      <c r="A88" s="1" t="s">
        <v>962</v>
      </c>
      <c r="B88" s="1" t="s">
        <v>43</v>
      </c>
      <c r="C88" s="1" t="s">
        <v>46</v>
      </c>
      <c r="D88" s="1" t="s">
        <v>610</v>
      </c>
      <c r="E88" s="1" t="s">
        <v>965</v>
      </c>
      <c r="F88" s="1" t="s">
        <v>966</v>
      </c>
      <c r="G88" s="1" t="s">
        <v>923</v>
      </c>
      <c r="H88" s="1" t="s">
        <v>187</v>
      </c>
      <c r="I88" s="1" t="s">
        <v>59</v>
      </c>
      <c r="J88" s="1" t="s">
        <v>188</v>
      </c>
      <c r="K88" s="1" t="s">
        <v>64</v>
      </c>
      <c r="L88" s="1" t="s">
        <v>926</v>
      </c>
      <c r="M88" s="1" t="s">
        <v>611</v>
      </c>
      <c r="N88" s="5" t="s">
        <v>613</v>
      </c>
    </row>
    <row r="89">
      <c r="A89" s="1" t="s">
        <v>971</v>
      </c>
      <c r="B89" s="1" t="s">
        <v>43</v>
      </c>
      <c r="C89" s="1" t="s">
        <v>46</v>
      </c>
      <c r="D89" s="1" t="s">
        <v>610</v>
      </c>
      <c r="E89" s="1" t="s">
        <v>972</v>
      </c>
      <c r="F89" s="1" t="s">
        <v>974</v>
      </c>
      <c r="G89" s="1" t="s">
        <v>923</v>
      </c>
      <c r="H89" s="1" t="s">
        <v>187</v>
      </c>
      <c r="I89" s="1" t="s">
        <v>59</v>
      </c>
      <c r="J89" s="1" t="s">
        <v>188</v>
      </c>
      <c r="K89" s="1" t="s">
        <v>64</v>
      </c>
      <c r="L89" s="1" t="s">
        <v>926</v>
      </c>
      <c r="M89" s="1" t="s">
        <v>611</v>
      </c>
      <c r="N89" s="5" t="s">
        <v>613</v>
      </c>
    </row>
    <row r="90">
      <c r="A90" s="1" t="s">
        <v>982</v>
      </c>
      <c r="B90" s="1" t="s">
        <v>43</v>
      </c>
      <c r="C90" s="1" t="s">
        <v>46</v>
      </c>
      <c r="D90" s="1" t="s">
        <v>610</v>
      </c>
      <c r="E90" s="1" t="s">
        <v>986</v>
      </c>
      <c r="F90" s="1" t="s">
        <v>989</v>
      </c>
      <c r="G90" s="1" t="s">
        <v>923</v>
      </c>
      <c r="H90" s="1" t="s">
        <v>187</v>
      </c>
      <c r="I90" s="1" t="s">
        <v>59</v>
      </c>
      <c r="J90" s="1" t="s">
        <v>188</v>
      </c>
      <c r="K90" s="1" t="s">
        <v>64</v>
      </c>
      <c r="L90" s="1" t="s">
        <v>926</v>
      </c>
      <c r="M90" s="1" t="s">
        <v>611</v>
      </c>
      <c r="N90" s="5" t="s">
        <v>613</v>
      </c>
    </row>
    <row r="91">
      <c r="A91" s="1" t="s">
        <v>991</v>
      </c>
      <c r="B91" s="1" t="s">
        <v>43</v>
      </c>
      <c r="C91" s="1" t="s">
        <v>46</v>
      </c>
      <c r="D91" s="1" t="s">
        <v>610</v>
      </c>
      <c r="E91" s="1" t="s">
        <v>994</v>
      </c>
      <c r="F91" s="1" t="s">
        <v>995</v>
      </c>
      <c r="G91" s="1" t="s">
        <v>923</v>
      </c>
      <c r="H91" s="1" t="s">
        <v>187</v>
      </c>
      <c r="I91" s="1" t="s">
        <v>59</v>
      </c>
      <c r="J91" s="1" t="s">
        <v>188</v>
      </c>
      <c r="K91" s="1" t="s">
        <v>64</v>
      </c>
      <c r="L91" s="1" t="s">
        <v>926</v>
      </c>
      <c r="M91" s="1" t="s">
        <v>611</v>
      </c>
      <c r="N91" s="5" t="s">
        <v>613</v>
      </c>
    </row>
    <row r="92">
      <c r="A92" s="1" t="s">
        <v>1001</v>
      </c>
      <c r="B92" s="1" t="s">
        <v>43</v>
      </c>
      <c r="C92" s="1" t="s">
        <v>46</v>
      </c>
      <c r="D92" s="1" t="s">
        <v>610</v>
      </c>
      <c r="E92" s="1" t="s">
        <v>1004</v>
      </c>
      <c r="F92" s="1" t="s">
        <v>1006</v>
      </c>
      <c r="G92" s="1" t="s">
        <v>923</v>
      </c>
      <c r="H92" s="1" t="s">
        <v>187</v>
      </c>
      <c r="I92" s="1" t="s">
        <v>59</v>
      </c>
      <c r="J92" s="1" t="s">
        <v>188</v>
      </c>
      <c r="K92" s="1" t="s">
        <v>64</v>
      </c>
      <c r="L92" s="1" t="s">
        <v>926</v>
      </c>
      <c r="M92" s="1" t="s">
        <v>611</v>
      </c>
      <c r="N92" s="5" t="s">
        <v>613</v>
      </c>
    </row>
    <row r="93">
      <c r="A93" s="1" t="s">
        <v>1015</v>
      </c>
      <c r="B93" s="1" t="s">
        <v>43</v>
      </c>
      <c r="C93" s="1" t="s">
        <v>46</v>
      </c>
      <c r="D93" s="1" t="s">
        <v>610</v>
      </c>
      <c r="E93" s="1" t="s">
        <v>1018</v>
      </c>
      <c r="F93" s="1" t="s">
        <v>1020</v>
      </c>
      <c r="G93" s="1" t="s">
        <v>1021</v>
      </c>
      <c r="H93" s="1" t="s">
        <v>187</v>
      </c>
      <c r="I93" s="1" t="s">
        <v>59</v>
      </c>
      <c r="J93" s="1" t="s">
        <v>188</v>
      </c>
      <c r="K93" s="1" t="s">
        <v>64</v>
      </c>
      <c r="L93" s="1" t="s">
        <v>926</v>
      </c>
      <c r="M93" s="1" t="s">
        <v>611</v>
      </c>
      <c r="N93" s="5" t="s">
        <v>613</v>
      </c>
    </row>
    <row r="94">
      <c r="A94" s="1" t="s">
        <v>1025</v>
      </c>
      <c r="B94" s="1" t="s">
        <v>43</v>
      </c>
      <c r="C94" s="1" t="s">
        <v>46</v>
      </c>
      <c r="D94" s="1" t="s">
        <v>610</v>
      </c>
      <c r="E94" s="1" t="s">
        <v>1026</v>
      </c>
      <c r="F94" s="1" t="s">
        <v>1027</v>
      </c>
      <c r="G94" s="1" t="s">
        <v>923</v>
      </c>
      <c r="H94" s="1" t="s">
        <v>187</v>
      </c>
      <c r="I94" s="1" t="s">
        <v>137</v>
      </c>
      <c r="J94" s="1" t="s">
        <v>188</v>
      </c>
      <c r="K94" s="1" t="s">
        <v>64</v>
      </c>
      <c r="L94" s="1" t="s">
        <v>926</v>
      </c>
      <c r="M94" s="1" t="s">
        <v>611</v>
      </c>
      <c r="N94" s="5" t="s">
        <v>613</v>
      </c>
    </row>
    <row r="95">
      <c r="A95" s="1" t="s">
        <v>1035</v>
      </c>
      <c r="B95" s="1" t="s">
        <v>43</v>
      </c>
      <c r="C95" s="1" t="s">
        <v>46</v>
      </c>
      <c r="D95" s="1" t="s">
        <v>610</v>
      </c>
      <c r="E95" s="1" t="s">
        <v>1038</v>
      </c>
      <c r="F95" s="1" t="s">
        <v>1040</v>
      </c>
      <c r="G95" s="1" t="s">
        <v>1043</v>
      </c>
      <c r="H95" s="1" t="s">
        <v>187</v>
      </c>
      <c r="I95" s="1" t="s">
        <v>137</v>
      </c>
      <c r="J95" s="1" t="s">
        <v>188</v>
      </c>
      <c r="K95" s="1" t="s">
        <v>64</v>
      </c>
      <c r="L95" s="1" t="s">
        <v>926</v>
      </c>
      <c r="M95" s="1" t="s">
        <v>611</v>
      </c>
      <c r="N95" s="5" t="s">
        <v>613</v>
      </c>
    </row>
  </sheetData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</hyperlinks>
  <drawing r:id="rId9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8.88"/>
    <col customWidth="1" min="3" max="3" width="47.13"/>
    <col customWidth="1" min="4" max="4" width="70.38"/>
  </cols>
  <sheetData>
    <row r="1">
      <c r="A1" s="1" t="s">
        <v>206</v>
      </c>
      <c r="B1" s="1" t="s">
        <v>207</v>
      </c>
      <c r="C1" s="1" t="s">
        <v>208</v>
      </c>
      <c r="D1" s="1" t="s">
        <v>209</v>
      </c>
    </row>
    <row r="2">
      <c r="A2" s="1" t="s">
        <v>211</v>
      </c>
      <c r="B2" s="1" t="s">
        <v>212</v>
      </c>
      <c r="C2" s="1" t="s">
        <v>43</v>
      </c>
      <c r="D2" s="1" t="s">
        <v>214</v>
      </c>
    </row>
    <row r="3">
      <c r="A3" s="1" t="s">
        <v>216</v>
      </c>
      <c r="B3" s="1" t="s">
        <v>217</v>
      </c>
      <c r="C3" s="1" t="s">
        <v>218</v>
      </c>
      <c r="D3" s="1" t="s">
        <v>219</v>
      </c>
    </row>
    <row r="4">
      <c r="A4" s="1" t="s">
        <v>220</v>
      </c>
      <c r="B4" s="1" t="s">
        <v>221</v>
      </c>
      <c r="C4" s="1" t="s">
        <v>47</v>
      </c>
      <c r="D4" s="1" t="s">
        <v>222</v>
      </c>
    </row>
    <row r="5">
      <c r="A5" s="1" t="s">
        <v>223</v>
      </c>
      <c r="B5" s="1" t="s">
        <v>224</v>
      </c>
      <c r="C5" s="1" t="s">
        <v>149</v>
      </c>
      <c r="D5" s="1" t="s">
        <v>225</v>
      </c>
    </row>
    <row r="6">
      <c r="A6" s="1" t="s">
        <v>227</v>
      </c>
      <c r="B6" s="1" t="s">
        <v>228</v>
      </c>
      <c r="C6" s="1" t="s">
        <v>229</v>
      </c>
      <c r="D6" s="1" t="s">
        <v>230</v>
      </c>
    </row>
    <row r="7">
      <c r="A7" s="1" t="s">
        <v>233</v>
      </c>
      <c r="B7" s="1" t="s">
        <v>235</v>
      </c>
      <c r="C7" s="1" t="s">
        <v>237</v>
      </c>
      <c r="D7" s="1" t="s">
        <v>238</v>
      </c>
    </row>
    <row r="8">
      <c r="A8" s="1" t="s">
        <v>240</v>
      </c>
      <c r="B8" s="1" t="s">
        <v>241</v>
      </c>
      <c r="C8" s="1" t="s">
        <v>243</v>
      </c>
      <c r="D8" s="1" t="s">
        <v>244</v>
      </c>
    </row>
    <row r="10">
      <c r="A10" s="1" t="s">
        <v>248</v>
      </c>
      <c r="B10" s="1" t="s">
        <v>207</v>
      </c>
      <c r="C10" s="1" t="s">
        <v>251</v>
      </c>
      <c r="D10" s="1" t="s">
        <v>209</v>
      </c>
    </row>
    <row r="11">
      <c r="A11" s="1" t="s">
        <v>17</v>
      </c>
      <c r="B11" s="1" t="s">
        <v>258</v>
      </c>
      <c r="C11" s="1" t="s">
        <v>261</v>
      </c>
      <c r="D11" s="1" t="s">
        <v>263</v>
      </c>
    </row>
    <row r="12">
      <c r="A12" s="1" t="s">
        <v>265</v>
      </c>
      <c r="B12" s="1" t="s">
        <v>267</v>
      </c>
      <c r="C12" s="1" t="s">
        <v>269</v>
      </c>
      <c r="D12" s="1" t="s">
        <v>272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" t="s">
        <v>232</v>
      </c>
      <c r="B1" s="1" t="s">
        <v>239</v>
      </c>
      <c r="C1" s="1" t="s">
        <v>207</v>
      </c>
      <c r="D1" s="1" t="s">
        <v>242</v>
      </c>
      <c r="E1" s="1" t="s">
        <v>245</v>
      </c>
    </row>
    <row r="2">
      <c r="A2" s="1" t="s">
        <v>247</v>
      </c>
      <c r="B2" s="1" t="s">
        <v>249</v>
      </c>
      <c r="C2" s="1" t="s">
        <v>250</v>
      </c>
      <c r="D2" s="1" t="s">
        <v>253</v>
      </c>
      <c r="E2" s="1" t="s">
        <v>255</v>
      </c>
    </row>
    <row r="3">
      <c r="A3" s="1" t="s">
        <v>256</v>
      </c>
      <c r="B3" s="1" t="s">
        <v>257</v>
      </c>
      <c r="C3" s="1" t="s">
        <v>259</v>
      </c>
      <c r="D3" s="1" t="s">
        <v>260</v>
      </c>
      <c r="E3" s="1" t="s">
        <v>262</v>
      </c>
    </row>
    <row r="4">
      <c r="A4" s="1" t="s">
        <v>59</v>
      </c>
      <c r="B4" s="1" t="s">
        <v>264</v>
      </c>
      <c r="C4" s="1" t="s">
        <v>266</v>
      </c>
      <c r="D4" s="1" t="s">
        <v>268</v>
      </c>
      <c r="E4" s="1" t="s">
        <v>270</v>
      </c>
    </row>
    <row r="5">
      <c r="A5" s="1" t="s">
        <v>137</v>
      </c>
      <c r="B5" s="1" t="s">
        <v>273</v>
      </c>
      <c r="C5" s="1" t="s">
        <v>275</v>
      </c>
      <c r="D5" s="1" t="s">
        <v>277</v>
      </c>
      <c r="E5" s="1" t="s">
        <v>279</v>
      </c>
    </row>
    <row r="6">
      <c r="A6" s="1" t="s">
        <v>280</v>
      </c>
      <c r="B6" s="1" t="s">
        <v>281</v>
      </c>
      <c r="C6" s="1" t="s">
        <v>282</v>
      </c>
      <c r="D6" s="1" t="s">
        <v>283</v>
      </c>
      <c r="E6" s="1" t="s">
        <v>284</v>
      </c>
    </row>
    <row r="7">
      <c r="A7" s="1" t="s">
        <v>285</v>
      </c>
      <c r="B7" s="1" t="s">
        <v>287</v>
      </c>
      <c r="C7" s="1" t="s">
        <v>288</v>
      </c>
      <c r="D7" s="1" t="s">
        <v>289</v>
      </c>
      <c r="E7" s="1" t="s">
        <v>291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</v>
      </c>
      <c r="B1" s="1" t="s">
        <v>239</v>
      </c>
      <c r="C1" s="1" t="s">
        <v>309</v>
      </c>
      <c r="D1" s="1" t="s">
        <v>310</v>
      </c>
    </row>
    <row r="2">
      <c r="A2" s="1" t="s">
        <v>311</v>
      </c>
      <c r="B2" s="1" t="s">
        <v>312</v>
      </c>
      <c r="C2" s="1" t="s">
        <v>313</v>
      </c>
      <c r="D2" s="1" t="s">
        <v>314</v>
      </c>
    </row>
    <row r="3">
      <c r="A3" s="1" t="s">
        <v>188</v>
      </c>
      <c r="B3" s="1" t="s">
        <v>315</v>
      </c>
      <c r="C3" s="1" t="s">
        <v>316</v>
      </c>
      <c r="D3" s="1" t="s">
        <v>317</v>
      </c>
    </row>
    <row r="4">
      <c r="A4" s="1" t="s">
        <v>62</v>
      </c>
      <c r="B4" s="1" t="s">
        <v>318</v>
      </c>
      <c r="C4" s="1" t="s">
        <v>320</v>
      </c>
      <c r="D4" s="1" t="s">
        <v>321</v>
      </c>
    </row>
    <row r="5">
      <c r="A5" s="1" t="s">
        <v>322</v>
      </c>
      <c r="B5" s="1" t="s">
        <v>323</v>
      </c>
      <c r="C5" s="1" t="s">
        <v>324</v>
      </c>
      <c r="D5" s="1" t="s">
        <v>326</v>
      </c>
    </row>
    <row r="6">
      <c r="A6" s="1" t="s">
        <v>328</v>
      </c>
      <c r="B6" s="1" t="s">
        <v>329</v>
      </c>
      <c r="C6" s="1" t="s">
        <v>330</v>
      </c>
      <c r="D6" s="1" t="s">
        <v>332</v>
      </c>
    </row>
    <row r="7">
      <c r="A7" s="1" t="s">
        <v>333</v>
      </c>
      <c r="B7" s="1" t="s">
        <v>334</v>
      </c>
      <c r="C7" s="1" t="s">
        <v>335</v>
      </c>
      <c r="D7" s="1" t="s">
        <v>336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42.63"/>
    <col customWidth="1" min="4" max="4" width="62.88"/>
    <col customWidth="1" min="5" max="5" width="111.63"/>
    <col customWidth="1" min="6" max="6" width="43.0"/>
  </cols>
  <sheetData>
    <row r="1">
      <c r="A1" s="1" t="s">
        <v>319</v>
      </c>
      <c r="B1" s="1" t="s">
        <v>12</v>
      </c>
      <c r="C1" s="1" t="s">
        <v>15</v>
      </c>
      <c r="D1" s="1" t="s">
        <v>325</v>
      </c>
      <c r="E1" s="1" t="s">
        <v>327</v>
      </c>
      <c r="F1" s="10" t="s">
        <v>331</v>
      </c>
    </row>
    <row r="2">
      <c r="A2" s="1">
        <v>1.0</v>
      </c>
      <c r="B2" s="1" t="s">
        <v>51</v>
      </c>
      <c r="C2" s="1" t="s">
        <v>341</v>
      </c>
      <c r="D2" s="1" t="s">
        <v>342</v>
      </c>
      <c r="E2" s="1" t="s">
        <v>344</v>
      </c>
      <c r="F2" s="6" t="s">
        <v>346</v>
      </c>
    </row>
    <row r="3">
      <c r="A3" s="1">
        <v>2.0</v>
      </c>
      <c r="B3" s="1" t="s">
        <v>75</v>
      </c>
      <c r="C3" s="1" t="s">
        <v>347</v>
      </c>
      <c r="D3" s="1" t="s">
        <v>348</v>
      </c>
      <c r="E3" s="1" t="s">
        <v>349</v>
      </c>
      <c r="F3" s="6" t="s">
        <v>350</v>
      </c>
    </row>
    <row r="4">
      <c r="A4" s="1">
        <v>3.0</v>
      </c>
      <c r="B4" s="1" t="s">
        <v>85</v>
      </c>
      <c r="C4" s="1" t="s">
        <v>352</v>
      </c>
      <c r="D4" s="1" t="s">
        <v>353</v>
      </c>
      <c r="E4" s="1" t="s">
        <v>349</v>
      </c>
      <c r="F4" s="6" t="s">
        <v>354</v>
      </c>
    </row>
    <row r="5">
      <c r="A5" s="1">
        <v>4.0</v>
      </c>
      <c r="B5" s="1" t="s">
        <v>92</v>
      </c>
      <c r="C5" s="1" t="s">
        <v>357</v>
      </c>
      <c r="D5" s="1" t="s">
        <v>358</v>
      </c>
      <c r="E5" s="1" t="s">
        <v>349</v>
      </c>
      <c r="F5" s="6" t="s">
        <v>359</v>
      </c>
    </row>
    <row r="6">
      <c r="A6" s="1">
        <v>5.0</v>
      </c>
      <c r="B6" s="1" t="s">
        <v>100</v>
      </c>
      <c r="C6" s="1" t="s">
        <v>360</v>
      </c>
      <c r="D6" s="1" t="s">
        <v>362</v>
      </c>
      <c r="E6" s="1" t="s">
        <v>349</v>
      </c>
      <c r="F6" s="6" t="s">
        <v>363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1" t="s">
        <v>370</v>
      </c>
      <c r="B1" s="1" t="s">
        <v>371</v>
      </c>
      <c r="C1" s="1" t="s">
        <v>372</v>
      </c>
    </row>
    <row r="2">
      <c r="A2" s="1" t="s">
        <v>0</v>
      </c>
      <c r="B2" s="1" t="s">
        <v>373</v>
      </c>
      <c r="C2" s="1" t="s">
        <v>374</v>
      </c>
    </row>
    <row r="3">
      <c r="A3" s="1" t="s">
        <v>376</v>
      </c>
      <c r="B3" s="1" t="s">
        <v>377</v>
      </c>
      <c r="C3" s="1" t="s">
        <v>378</v>
      </c>
    </row>
    <row r="4">
      <c r="A4" s="1" t="s">
        <v>380</v>
      </c>
      <c r="B4" s="1" t="s">
        <v>382</v>
      </c>
      <c r="C4" s="1" t="s">
        <v>248</v>
      </c>
    </row>
    <row r="5">
      <c r="A5" s="1" t="s">
        <v>383</v>
      </c>
      <c r="B5" s="1" t="s">
        <v>384</v>
      </c>
      <c r="C5" s="1" t="s">
        <v>248</v>
      </c>
    </row>
    <row r="6">
      <c r="A6" s="1" t="s">
        <v>385</v>
      </c>
      <c r="B6" s="1" t="s">
        <v>386</v>
      </c>
      <c r="C6" s="1" t="s">
        <v>248</v>
      </c>
    </row>
    <row r="7">
      <c r="A7" s="1" t="s">
        <v>387</v>
      </c>
      <c r="B7" s="1" t="s">
        <v>389</v>
      </c>
      <c r="C7" s="1" t="s">
        <v>390</v>
      </c>
    </row>
    <row r="8">
      <c r="A8" s="1" t="s">
        <v>391</v>
      </c>
      <c r="B8" s="1" t="s">
        <v>393</v>
      </c>
      <c r="C8" s="1" t="s">
        <v>390</v>
      </c>
    </row>
    <row r="9">
      <c r="A9" s="1" t="s">
        <v>395</v>
      </c>
      <c r="B9" s="1" t="s">
        <v>396</v>
      </c>
      <c r="C9" s="1" t="s">
        <v>390</v>
      </c>
    </row>
    <row r="10">
      <c r="A10" s="1" t="s">
        <v>397</v>
      </c>
      <c r="B10" s="1" t="s">
        <v>398</v>
      </c>
      <c r="C10" s="1" t="s">
        <v>390</v>
      </c>
    </row>
    <row r="11">
      <c r="A11" s="1" t="s">
        <v>400</v>
      </c>
      <c r="B11" s="1" t="s">
        <v>401</v>
      </c>
      <c r="C11" s="1" t="s">
        <v>402</v>
      </c>
    </row>
    <row r="12">
      <c r="A12" s="1" t="s">
        <v>404</v>
      </c>
      <c r="B12" s="1" t="s">
        <v>406</v>
      </c>
      <c r="C12" s="1" t="s">
        <v>402</v>
      </c>
    </row>
    <row r="13">
      <c r="A13" s="1" t="s">
        <v>407</v>
      </c>
      <c r="B13" s="1" t="s">
        <v>408</v>
      </c>
      <c r="C13" s="1" t="s">
        <v>409</v>
      </c>
    </row>
    <row r="14">
      <c r="A14" s="1" t="s">
        <v>410</v>
      </c>
      <c r="B14" s="1" t="s">
        <v>411</v>
      </c>
      <c r="C14" s="1" t="s">
        <v>409</v>
      </c>
    </row>
    <row r="15">
      <c r="A15" s="1" t="s">
        <v>413</v>
      </c>
      <c r="B15" s="1" t="s">
        <v>414</v>
      </c>
      <c r="C15" s="1" t="s">
        <v>415</v>
      </c>
    </row>
    <row r="16">
      <c r="A16" s="1" t="s">
        <v>417</v>
      </c>
      <c r="B16" s="1" t="s">
        <v>419</v>
      </c>
      <c r="C16" s="1" t="s">
        <v>421</v>
      </c>
    </row>
    <row r="17">
      <c r="A17" s="1" t="s">
        <v>423</v>
      </c>
      <c r="B17" s="1" t="s">
        <v>424</v>
      </c>
      <c r="C17" s="1" t="s">
        <v>421</v>
      </c>
    </row>
    <row r="18">
      <c r="A18" s="1" t="s">
        <v>426</v>
      </c>
      <c r="B18" s="1" t="s">
        <v>428</v>
      </c>
      <c r="C18" s="1" t="s">
        <v>421</v>
      </c>
    </row>
    <row r="19">
      <c r="A19" s="1" t="s">
        <v>430</v>
      </c>
      <c r="B19" s="1" t="s">
        <v>433</v>
      </c>
      <c r="C19" s="1" t="s">
        <v>421</v>
      </c>
    </row>
    <row r="20">
      <c r="A20" s="1" t="s">
        <v>434</v>
      </c>
      <c r="B20" s="1" t="s">
        <v>435</v>
      </c>
      <c r="C20" s="1" t="s">
        <v>421</v>
      </c>
    </row>
    <row r="21">
      <c r="A21" s="1" t="s">
        <v>437</v>
      </c>
      <c r="B21" s="1" t="s">
        <v>438</v>
      </c>
      <c r="C21" s="1" t="s">
        <v>421</v>
      </c>
    </row>
    <row r="22">
      <c r="A22" s="1" t="s">
        <v>441</v>
      </c>
      <c r="B22" s="1" t="s">
        <v>442</v>
      </c>
      <c r="C22" s="1" t="s">
        <v>421</v>
      </c>
    </row>
    <row r="23">
      <c r="A23" s="1" t="s">
        <v>443</v>
      </c>
      <c r="B23" s="1" t="s">
        <v>444</v>
      </c>
      <c r="C23" s="1" t="s">
        <v>445</v>
      </c>
    </row>
    <row r="24">
      <c r="A24" s="1" t="s">
        <v>447</v>
      </c>
      <c r="B24" s="1" t="s">
        <v>448</v>
      </c>
      <c r="C24" s="1" t="s">
        <v>445</v>
      </c>
    </row>
    <row r="25">
      <c r="A25" s="1" t="s">
        <v>450</v>
      </c>
      <c r="B25" s="1" t="s">
        <v>452</v>
      </c>
      <c r="C25" s="1" t="s">
        <v>453</v>
      </c>
    </row>
    <row r="26">
      <c r="A26" s="1" t="s">
        <v>455</v>
      </c>
      <c r="B26" s="1" t="s">
        <v>456</v>
      </c>
      <c r="C26" s="1" t="s">
        <v>453</v>
      </c>
    </row>
    <row r="27">
      <c r="A27" s="1" t="s">
        <v>457</v>
      </c>
      <c r="B27" s="1" t="s">
        <v>459</v>
      </c>
      <c r="C27" s="1" t="s">
        <v>460</v>
      </c>
    </row>
    <row r="28">
      <c r="A28" s="1" t="s">
        <v>461</v>
      </c>
      <c r="B28" s="1" t="s">
        <v>464</v>
      </c>
      <c r="C28" s="1" t="s">
        <v>460</v>
      </c>
    </row>
    <row r="29">
      <c r="A29" s="1" t="s">
        <v>468</v>
      </c>
      <c r="B29" s="1" t="s">
        <v>470</v>
      </c>
      <c r="C29" s="1" t="s">
        <v>415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61.63"/>
    <col customWidth="1" min="4" max="4" width="89.75"/>
    <col customWidth="1" min="5" max="5" width="99.38"/>
  </cols>
  <sheetData>
    <row r="1">
      <c r="A1" s="1" t="s">
        <v>422</v>
      </c>
      <c r="B1" s="1" t="s">
        <v>425</v>
      </c>
      <c r="C1" s="1" t="s">
        <v>34</v>
      </c>
      <c r="D1" s="1" t="s">
        <v>427</v>
      </c>
      <c r="E1" s="1" t="s">
        <v>429</v>
      </c>
    </row>
    <row r="2">
      <c r="A2" s="1" t="s">
        <v>432</v>
      </c>
      <c r="B2" s="1" t="s">
        <v>47</v>
      </c>
      <c r="C2" s="1" t="s">
        <v>68</v>
      </c>
      <c r="D2" s="5" t="s">
        <v>72</v>
      </c>
      <c r="E2" s="1" t="s">
        <v>476</v>
      </c>
    </row>
    <row r="3">
      <c r="A3" s="1" t="s">
        <v>432</v>
      </c>
      <c r="B3" s="1" t="s">
        <v>183</v>
      </c>
      <c r="C3" s="1" t="s">
        <v>190</v>
      </c>
      <c r="D3" s="5" t="s">
        <v>191</v>
      </c>
      <c r="E3" s="1" t="s">
        <v>476</v>
      </c>
    </row>
    <row r="4">
      <c r="A4" s="1" t="s">
        <v>432</v>
      </c>
      <c r="B4" s="1" t="s">
        <v>303</v>
      </c>
      <c r="C4" s="1" t="s">
        <v>307</v>
      </c>
      <c r="D4" s="5" t="s">
        <v>308</v>
      </c>
      <c r="E4" s="1" t="s">
        <v>476</v>
      </c>
    </row>
    <row r="5">
      <c r="A5" s="1" t="s">
        <v>432</v>
      </c>
      <c r="B5" s="1" t="s">
        <v>463</v>
      </c>
      <c r="C5" s="1" t="s">
        <v>473</v>
      </c>
      <c r="D5" s="5" t="s">
        <v>474</v>
      </c>
      <c r="E5" s="1" t="s">
        <v>476</v>
      </c>
    </row>
    <row r="6">
      <c r="A6" s="1" t="s">
        <v>432</v>
      </c>
      <c r="B6" s="1" t="s">
        <v>84</v>
      </c>
      <c r="C6" s="1" t="s">
        <v>535</v>
      </c>
      <c r="D6" s="5" t="s">
        <v>536</v>
      </c>
      <c r="E6" s="1" t="s">
        <v>476</v>
      </c>
    </row>
    <row r="7">
      <c r="A7" s="1" t="s">
        <v>432</v>
      </c>
      <c r="B7" s="1" t="s">
        <v>559</v>
      </c>
      <c r="C7" s="1" t="s">
        <v>561</v>
      </c>
      <c r="D7" s="5" t="s">
        <v>565</v>
      </c>
      <c r="E7" s="1" t="s">
        <v>476</v>
      </c>
    </row>
    <row r="8">
      <c r="A8" s="1" t="s">
        <v>432</v>
      </c>
      <c r="B8" s="1" t="s">
        <v>116</v>
      </c>
      <c r="C8" s="1" t="s">
        <v>607</v>
      </c>
      <c r="D8" s="5" t="s">
        <v>565</v>
      </c>
      <c r="E8" s="1" t="s">
        <v>476</v>
      </c>
    </row>
    <row r="9">
      <c r="A9" s="1" t="s">
        <v>432</v>
      </c>
      <c r="B9" s="1" t="s">
        <v>610</v>
      </c>
      <c r="C9" s="1" t="s">
        <v>611</v>
      </c>
      <c r="D9" s="5" t="s">
        <v>613</v>
      </c>
      <c r="E9" s="1" t="s">
        <v>476</v>
      </c>
    </row>
    <row r="10">
      <c r="A10" s="1" t="s">
        <v>623</v>
      </c>
      <c r="B10" s="1" t="s">
        <v>624</v>
      </c>
      <c r="C10" s="1" t="s">
        <v>626</v>
      </c>
      <c r="D10" s="5" t="s">
        <v>627</v>
      </c>
      <c r="E10" s="1" t="s">
        <v>645</v>
      </c>
    </row>
    <row r="11">
      <c r="A11" s="1" t="s">
        <v>646</v>
      </c>
      <c r="B11" s="1" t="s">
        <v>647</v>
      </c>
      <c r="C11" s="1" t="s">
        <v>648</v>
      </c>
      <c r="D11" s="5" t="s">
        <v>650</v>
      </c>
      <c r="E11" s="1" t="s">
        <v>670</v>
      </c>
    </row>
    <row r="12">
      <c r="A12" s="1" t="s">
        <v>646</v>
      </c>
      <c r="B12" s="1" t="s">
        <v>673</v>
      </c>
      <c r="C12" s="1" t="s">
        <v>675</v>
      </c>
      <c r="D12" s="5" t="s">
        <v>676</v>
      </c>
      <c r="E12" s="1" t="s">
        <v>692</v>
      </c>
    </row>
    <row r="13">
      <c r="A13" s="1" t="s">
        <v>646</v>
      </c>
      <c r="B13" s="1" t="s">
        <v>695</v>
      </c>
      <c r="C13" s="1" t="s">
        <v>697</v>
      </c>
      <c r="D13" s="5" t="s">
        <v>698</v>
      </c>
      <c r="E13" s="1" t="s">
        <v>719</v>
      </c>
    </row>
    <row r="14">
      <c r="A14" s="6" t="s">
        <v>722</v>
      </c>
      <c r="B14" s="6" t="s">
        <v>723</v>
      </c>
      <c r="C14" s="6" t="s">
        <v>724</v>
      </c>
      <c r="D14" s="22" t="s">
        <v>725</v>
      </c>
      <c r="E14" s="6" t="s">
        <v>746</v>
      </c>
    </row>
    <row r="15">
      <c r="A15" s="6" t="s">
        <v>646</v>
      </c>
      <c r="B15" s="6" t="s">
        <v>749</v>
      </c>
      <c r="C15" s="6" t="s">
        <v>751</v>
      </c>
      <c r="D15" s="22" t="s">
        <v>754</v>
      </c>
      <c r="E15" s="6" t="s">
        <v>769</v>
      </c>
    </row>
    <row r="16">
      <c r="A16" s="6" t="s">
        <v>646</v>
      </c>
      <c r="B16" s="6" t="s">
        <v>770</v>
      </c>
      <c r="C16" s="6" t="s">
        <v>772</v>
      </c>
      <c r="D16" s="22" t="s">
        <v>775</v>
      </c>
      <c r="E16" s="6" t="s">
        <v>799</v>
      </c>
    </row>
    <row r="17">
      <c r="A17" s="6" t="s">
        <v>646</v>
      </c>
      <c r="B17" s="6" t="s">
        <v>803</v>
      </c>
      <c r="C17" s="6" t="s">
        <v>805</v>
      </c>
      <c r="D17" s="22" t="s">
        <v>809</v>
      </c>
      <c r="E17" s="6" t="s">
        <v>849</v>
      </c>
    </row>
    <row r="18">
      <c r="A18" s="6" t="s">
        <v>432</v>
      </c>
      <c r="B18" s="6" t="s">
        <v>853</v>
      </c>
      <c r="C18" s="22" t="s">
        <v>856</v>
      </c>
      <c r="D18" s="22" t="s">
        <v>908</v>
      </c>
      <c r="E18" s="6" t="s">
        <v>930</v>
      </c>
    </row>
    <row r="19">
      <c r="A19" s="6" t="s">
        <v>646</v>
      </c>
      <c r="B19" s="6" t="s">
        <v>932</v>
      </c>
      <c r="C19" s="6" t="s">
        <v>933</v>
      </c>
      <c r="D19" s="22" t="s">
        <v>934</v>
      </c>
      <c r="E19" s="6" t="s">
        <v>955</v>
      </c>
    </row>
    <row r="20">
      <c r="A20" s="6" t="s">
        <v>646</v>
      </c>
      <c r="B20" s="6" t="s">
        <v>770</v>
      </c>
      <c r="C20" s="6" t="s">
        <v>772</v>
      </c>
      <c r="D20" s="22" t="s">
        <v>959</v>
      </c>
      <c r="E20" s="6" t="s">
        <v>979</v>
      </c>
    </row>
    <row r="21">
      <c r="A21" s="6" t="s">
        <v>432</v>
      </c>
      <c r="B21" s="6" t="s">
        <v>983</v>
      </c>
      <c r="C21" s="6" t="s">
        <v>984</v>
      </c>
      <c r="D21" s="22" t="s">
        <v>987</v>
      </c>
      <c r="E21" s="6" t="s">
        <v>1007</v>
      </c>
    </row>
    <row r="22">
      <c r="A22" s="6" t="s">
        <v>646</v>
      </c>
      <c r="B22" s="6" t="s">
        <v>1008</v>
      </c>
      <c r="C22" s="6" t="s">
        <v>1009</v>
      </c>
      <c r="D22" s="22" t="s">
        <v>1010</v>
      </c>
      <c r="E22" s="6" t="s">
        <v>1042</v>
      </c>
    </row>
    <row r="23">
      <c r="A23" s="6" t="s">
        <v>646</v>
      </c>
      <c r="B23" s="6" t="s">
        <v>1046</v>
      </c>
      <c r="C23" s="6" t="s">
        <v>1047</v>
      </c>
      <c r="D23" s="22" t="s">
        <v>1048</v>
      </c>
      <c r="E23" s="6" t="s">
        <v>1063</v>
      </c>
    </row>
    <row r="24">
      <c r="A24" s="6" t="s">
        <v>646</v>
      </c>
      <c r="B24" s="6" t="s">
        <v>1064</v>
      </c>
      <c r="C24" s="6" t="s">
        <v>1065</v>
      </c>
      <c r="D24" s="22" t="s">
        <v>1066</v>
      </c>
      <c r="E24" s="6" t="s">
        <v>1071</v>
      </c>
    </row>
    <row r="25">
      <c r="A25" s="6" t="s">
        <v>646</v>
      </c>
      <c r="B25" s="6" t="s">
        <v>1072</v>
      </c>
      <c r="C25" s="6" t="s">
        <v>1073</v>
      </c>
      <c r="D25" s="22" t="s">
        <v>1075</v>
      </c>
      <c r="E25" s="6" t="s">
        <v>1079</v>
      </c>
    </row>
    <row r="26">
      <c r="A26" s="6" t="s">
        <v>1080</v>
      </c>
      <c r="B26" s="6" t="s">
        <v>1081</v>
      </c>
      <c r="C26" s="6" t="s">
        <v>1082</v>
      </c>
      <c r="D26" s="6" t="s">
        <v>1083</v>
      </c>
      <c r="E26" s="6" t="s">
        <v>1084</v>
      </c>
    </row>
    <row r="27">
      <c r="A27" s="6" t="s">
        <v>1085</v>
      </c>
      <c r="B27" s="6" t="s">
        <v>1086</v>
      </c>
      <c r="C27" s="6" t="s">
        <v>1087</v>
      </c>
      <c r="D27" s="6" t="s">
        <v>1088</v>
      </c>
      <c r="E27" s="6" t="s">
        <v>1089</v>
      </c>
    </row>
    <row r="28">
      <c r="A28" s="6" t="s">
        <v>646</v>
      </c>
      <c r="B28" s="6" t="s">
        <v>1090</v>
      </c>
      <c r="C28" s="6" t="s">
        <v>1091</v>
      </c>
      <c r="D28" s="22" t="s">
        <v>1092</v>
      </c>
      <c r="E28" s="6" t="s">
        <v>1103</v>
      </c>
    </row>
    <row r="29">
      <c r="A29" s="6" t="s">
        <v>646</v>
      </c>
      <c r="B29" s="6" t="s">
        <v>1104</v>
      </c>
      <c r="C29" s="6" t="s">
        <v>1106</v>
      </c>
      <c r="D29" s="22" t="s">
        <v>1107</v>
      </c>
      <c r="E29" s="6" t="s">
        <v>1156</v>
      </c>
    </row>
    <row r="30">
      <c r="A30" s="6" t="s">
        <v>646</v>
      </c>
      <c r="B30" s="6" t="s">
        <v>1161</v>
      </c>
      <c r="C30" s="6" t="s">
        <v>1163</v>
      </c>
      <c r="D30" s="22" t="s">
        <v>1166</v>
      </c>
      <c r="E30" s="6" t="s">
        <v>1204</v>
      </c>
    </row>
    <row r="31">
      <c r="A31" s="6" t="s">
        <v>646</v>
      </c>
      <c r="B31" s="6" t="s">
        <v>1208</v>
      </c>
      <c r="C31" s="6" t="s">
        <v>1211</v>
      </c>
      <c r="D31" s="22" t="s">
        <v>1214</v>
      </c>
      <c r="E31" s="6" t="s">
        <v>1262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C18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8"/>
    <hyperlink r:id="rId27" ref="D29"/>
    <hyperlink r:id="rId28" ref="D30"/>
    <hyperlink r:id="rId29" ref="D31"/>
  </hyperlinks>
  <drawing r:id="rId3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3.88"/>
    <col customWidth="1" min="3" max="3" width="29.38"/>
    <col customWidth="1" min="4" max="4" width="23.5"/>
    <col customWidth="1" min="5" max="5" width="36.38"/>
    <col customWidth="1" min="6" max="6" width="70.63"/>
    <col customWidth="1" min="7" max="7" width="33.38"/>
    <col customWidth="1" min="8" max="8" width="34.0"/>
    <col customWidth="1" min="9" max="9" width="36.0"/>
    <col customWidth="1" min="10" max="10" width="31.0"/>
    <col customWidth="1" min="11" max="11" width="12.88"/>
    <col customWidth="1" min="12" max="12" width="9.75"/>
    <col customWidth="1" min="13" max="13" width="53.25"/>
    <col customWidth="1" min="14" max="14" width="26.13"/>
    <col customWidth="1" min="15" max="15" width="47.63"/>
    <col customWidth="1" min="16" max="16" width="55.0"/>
    <col customWidth="1" min="17" max="17" width="71.25"/>
    <col customWidth="1" min="18" max="18" width="13.75"/>
  </cols>
  <sheetData>
    <row r="1">
      <c r="A1" s="2" t="s">
        <v>495</v>
      </c>
      <c r="B1" s="2" t="s">
        <v>7</v>
      </c>
      <c r="C1" s="2" t="s">
        <v>9</v>
      </c>
      <c r="D1" s="2" t="s">
        <v>498</v>
      </c>
      <c r="E1" s="2" t="s">
        <v>499</v>
      </c>
      <c r="F1" s="2" t="s">
        <v>500</v>
      </c>
      <c r="G1" s="2" t="s">
        <v>501</v>
      </c>
      <c r="H1" s="2" t="s">
        <v>404</v>
      </c>
      <c r="I1" s="2" t="s">
        <v>503</v>
      </c>
      <c r="J1" s="2" t="s">
        <v>505</v>
      </c>
      <c r="K1" s="2" t="s">
        <v>407</v>
      </c>
      <c r="L1" s="2" t="s">
        <v>410</v>
      </c>
      <c r="M1" s="2" t="s">
        <v>507</v>
      </c>
      <c r="N1" s="2" t="s">
        <v>508</v>
      </c>
      <c r="O1" s="2" t="s">
        <v>509</v>
      </c>
      <c r="P1" s="2" t="s">
        <v>34</v>
      </c>
      <c r="Q1" s="2" t="s">
        <v>37</v>
      </c>
      <c r="R1" s="2" t="s">
        <v>29</v>
      </c>
    </row>
    <row r="2">
      <c r="A2" s="6" t="s">
        <v>513</v>
      </c>
      <c r="B2" s="6" t="s">
        <v>47</v>
      </c>
      <c r="C2" s="6" t="s">
        <v>49</v>
      </c>
      <c r="D2" s="6" t="s">
        <v>514</v>
      </c>
      <c r="E2" s="6" t="s">
        <v>515</v>
      </c>
      <c r="F2" s="6" t="s">
        <v>516</v>
      </c>
      <c r="G2" s="6" t="s">
        <v>518</v>
      </c>
      <c r="H2" s="6" t="s">
        <v>519</v>
      </c>
      <c r="I2" s="6" t="s">
        <v>520</v>
      </c>
      <c r="J2" s="6" t="s">
        <v>523</v>
      </c>
      <c r="K2" s="6" t="s">
        <v>524</v>
      </c>
      <c r="L2" s="6" t="s">
        <v>59</v>
      </c>
      <c r="M2" s="6" t="s">
        <v>526</v>
      </c>
      <c r="N2" s="6" t="s">
        <v>527</v>
      </c>
      <c r="O2" s="6" t="s">
        <v>528</v>
      </c>
      <c r="P2" s="6" t="s">
        <v>530</v>
      </c>
      <c r="Q2" s="22" t="s">
        <v>533</v>
      </c>
      <c r="R2" s="6" t="s">
        <v>552</v>
      </c>
    </row>
    <row r="3">
      <c r="A3" s="6" t="s">
        <v>553</v>
      </c>
      <c r="B3" s="6" t="s">
        <v>47</v>
      </c>
      <c r="C3" s="6" t="s">
        <v>49</v>
      </c>
      <c r="D3" s="6" t="s">
        <v>554</v>
      </c>
      <c r="E3" s="6" t="s">
        <v>556</v>
      </c>
      <c r="F3" s="6" t="s">
        <v>558</v>
      </c>
      <c r="G3" s="6" t="s">
        <v>560</v>
      </c>
      <c r="H3" s="6" t="s">
        <v>562</v>
      </c>
      <c r="I3" s="6" t="s">
        <v>563</v>
      </c>
      <c r="J3" s="6" t="s">
        <v>566</v>
      </c>
      <c r="K3" s="6" t="s">
        <v>568</v>
      </c>
      <c r="L3" s="6" t="s">
        <v>59</v>
      </c>
      <c r="M3" s="6" t="s">
        <v>570</v>
      </c>
      <c r="N3" s="6" t="s">
        <v>571</v>
      </c>
      <c r="O3" s="6" t="s">
        <v>572</v>
      </c>
      <c r="P3" s="6" t="s">
        <v>530</v>
      </c>
      <c r="Q3" s="22" t="s">
        <v>533</v>
      </c>
      <c r="R3" s="6" t="s">
        <v>552</v>
      </c>
    </row>
    <row r="4">
      <c r="A4" s="6" t="s">
        <v>574</v>
      </c>
      <c r="B4" s="6" t="s">
        <v>576</v>
      </c>
      <c r="C4" s="6" t="s">
        <v>49</v>
      </c>
      <c r="D4" s="6" t="s">
        <v>578</v>
      </c>
      <c r="E4" s="6" t="s">
        <v>579</v>
      </c>
      <c r="F4" s="6" t="s">
        <v>581</v>
      </c>
      <c r="G4" s="6" t="s">
        <v>562</v>
      </c>
      <c r="H4" s="6" t="s">
        <v>562</v>
      </c>
      <c r="I4" s="6" t="s">
        <v>586</v>
      </c>
      <c r="J4" s="6" t="s">
        <v>587</v>
      </c>
      <c r="K4" s="6" t="s">
        <v>524</v>
      </c>
      <c r="L4" s="6" t="s">
        <v>59</v>
      </c>
      <c r="M4" s="6" t="s">
        <v>588</v>
      </c>
      <c r="N4" s="6" t="s">
        <v>590</v>
      </c>
      <c r="O4" s="6" t="s">
        <v>591</v>
      </c>
      <c r="P4" s="6" t="s">
        <v>530</v>
      </c>
      <c r="Q4" s="22" t="s">
        <v>533</v>
      </c>
      <c r="R4" s="6" t="s">
        <v>552</v>
      </c>
    </row>
    <row r="5">
      <c r="A5" s="6" t="s">
        <v>593</v>
      </c>
      <c r="B5" s="6" t="s">
        <v>47</v>
      </c>
      <c r="C5" s="6" t="s">
        <v>152</v>
      </c>
      <c r="D5" s="6" t="s">
        <v>594</v>
      </c>
      <c r="E5" s="6" t="s">
        <v>596</v>
      </c>
      <c r="F5" s="6" t="s">
        <v>597</v>
      </c>
      <c r="G5" s="6" t="s">
        <v>598</v>
      </c>
      <c r="H5" s="6" t="s">
        <v>599</v>
      </c>
      <c r="I5" s="6" t="s">
        <v>600</v>
      </c>
      <c r="J5" s="6" t="s">
        <v>602</v>
      </c>
      <c r="K5" s="6" t="s">
        <v>524</v>
      </c>
      <c r="L5" s="6" t="s">
        <v>59</v>
      </c>
      <c r="M5" s="6" t="s">
        <v>603</v>
      </c>
      <c r="N5" s="6" t="s">
        <v>605</v>
      </c>
      <c r="O5" s="6" t="s">
        <v>606</v>
      </c>
      <c r="P5" s="6" t="s">
        <v>68</v>
      </c>
      <c r="Q5" s="22" t="s">
        <v>609</v>
      </c>
      <c r="R5" s="6" t="s">
        <v>552</v>
      </c>
    </row>
    <row r="6">
      <c r="A6" s="6" t="s">
        <v>625</v>
      </c>
      <c r="B6" s="6" t="s">
        <v>47</v>
      </c>
      <c r="C6" s="6" t="s">
        <v>149</v>
      </c>
      <c r="D6" s="6" t="s">
        <v>628</v>
      </c>
      <c r="E6" s="6" t="s">
        <v>629</v>
      </c>
      <c r="F6" s="6" t="s">
        <v>631</v>
      </c>
      <c r="G6" s="6" t="s">
        <v>632</v>
      </c>
      <c r="H6" s="6" t="s">
        <v>633</v>
      </c>
      <c r="I6" s="6" t="s">
        <v>635</v>
      </c>
      <c r="J6" s="6" t="s">
        <v>637</v>
      </c>
      <c r="K6" s="6" t="s">
        <v>524</v>
      </c>
      <c r="L6" s="6" t="s">
        <v>59</v>
      </c>
      <c r="M6" s="6" t="s">
        <v>638</v>
      </c>
      <c r="N6" s="6" t="s">
        <v>639</v>
      </c>
      <c r="O6" s="6" t="s">
        <v>640</v>
      </c>
      <c r="P6" s="6" t="s">
        <v>535</v>
      </c>
      <c r="Q6" s="22" t="s">
        <v>641</v>
      </c>
      <c r="R6" s="6" t="s">
        <v>552</v>
      </c>
    </row>
    <row r="7">
      <c r="A7" s="6" t="s">
        <v>656</v>
      </c>
      <c r="B7" s="6" t="s">
        <v>576</v>
      </c>
      <c r="C7" s="6" t="s">
        <v>155</v>
      </c>
      <c r="D7" s="6" t="s">
        <v>658</v>
      </c>
      <c r="E7" s="6" t="s">
        <v>659</v>
      </c>
      <c r="F7" s="6" t="s">
        <v>660</v>
      </c>
      <c r="G7" s="6" t="s">
        <v>562</v>
      </c>
      <c r="H7" s="6" t="s">
        <v>562</v>
      </c>
      <c r="I7" s="6" t="s">
        <v>663</v>
      </c>
      <c r="J7" s="6" t="s">
        <v>664</v>
      </c>
      <c r="K7" s="6" t="s">
        <v>568</v>
      </c>
      <c r="L7" s="6" t="s">
        <v>59</v>
      </c>
      <c r="M7" s="6" t="s">
        <v>665</v>
      </c>
      <c r="N7" s="6" t="s">
        <v>666</v>
      </c>
      <c r="O7" s="6" t="s">
        <v>667</v>
      </c>
      <c r="P7" s="6" t="s">
        <v>190</v>
      </c>
      <c r="Q7" s="22" t="s">
        <v>668</v>
      </c>
      <c r="R7" s="6" t="s">
        <v>552</v>
      </c>
    </row>
    <row r="8">
      <c r="A8" s="6" t="s">
        <v>684</v>
      </c>
      <c r="B8" s="6" t="s">
        <v>576</v>
      </c>
      <c r="C8" s="6" t="s">
        <v>155</v>
      </c>
      <c r="D8" s="6" t="s">
        <v>688</v>
      </c>
      <c r="E8" s="6" t="s">
        <v>690</v>
      </c>
      <c r="F8" s="6" t="s">
        <v>691</v>
      </c>
      <c r="G8" s="6" t="s">
        <v>562</v>
      </c>
      <c r="H8" s="6" t="s">
        <v>562</v>
      </c>
      <c r="I8" s="6" t="s">
        <v>694</v>
      </c>
      <c r="J8" s="6" t="s">
        <v>696</v>
      </c>
      <c r="K8" s="6" t="s">
        <v>524</v>
      </c>
      <c r="L8" s="6" t="s">
        <v>59</v>
      </c>
      <c r="M8" s="6" t="s">
        <v>699</v>
      </c>
      <c r="N8" s="6" t="s">
        <v>700</v>
      </c>
      <c r="O8" s="6" t="s">
        <v>701</v>
      </c>
      <c r="P8" s="6" t="s">
        <v>535</v>
      </c>
      <c r="Q8" s="22" t="s">
        <v>641</v>
      </c>
      <c r="R8" s="6" t="s">
        <v>552</v>
      </c>
    </row>
    <row r="9">
      <c r="A9" s="6" t="s">
        <v>702</v>
      </c>
      <c r="B9" s="6" t="s">
        <v>47</v>
      </c>
      <c r="C9" s="6" t="s">
        <v>149</v>
      </c>
      <c r="D9" s="6" t="s">
        <v>703</v>
      </c>
      <c r="E9" s="6" t="s">
        <v>704</v>
      </c>
      <c r="F9" s="6" t="s">
        <v>705</v>
      </c>
      <c r="G9" s="6" t="s">
        <v>632</v>
      </c>
      <c r="H9" s="6" t="s">
        <v>706</v>
      </c>
      <c r="I9" s="6" t="s">
        <v>707</v>
      </c>
      <c r="J9" s="6" t="s">
        <v>708</v>
      </c>
      <c r="K9" s="6" t="s">
        <v>524</v>
      </c>
      <c r="L9" s="6" t="s">
        <v>59</v>
      </c>
      <c r="M9" s="6" t="s">
        <v>709</v>
      </c>
      <c r="N9" s="6" t="s">
        <v>710</v>
      </c>
      <c r="O9" s="6" t="s">
        <v>711</v>
      </c>
      <c r="P9" s="6" t="s">
        <v>535</v>
      </c>
      <c r="Q9" s="22" t="s">
        <v>641</v>
      </c>
      <c r="R9" s="6" t="s">
        <v>552</v>
      </c>
    </row>
    <row r="10">
      <c r="A10" s="6" t="s">
        <v>712</v>
      </c>
      <c r="B10" s="6" t="s">
        <v>713</v>
      </c>
      <c r="C10" s="6" t="s">
        <v>543</v>
      </c>
      <c r="D10" s="6" t="s">
        <v>714</v>
      </c>
      <c r="E10" s="6" t="s">
        <v>715</v>
      </c>
      <c r="F10" s="6" t="s">
        <v>716</v>
      </c>
      <c r="G10" s="6" t="s">
        <v>562</v>
      </c>
      <c r="H10" s="6" t="s">
        <v>562</v>
      </c>
      <c r="I10" s="6" t="s">
        <v>717</v>
      </c>
      <c r="J10" s="6" t="s">
        <v>664</v>
      </c>
      <c r="K10" s="6" t="s">
        <v>524</v>
      </c>
      <c r="L10" s="6" t="s">
        <v>59</v>
      </c>
      <c r="M10" s="6" t="s">
        <v>718</v>
      </c>
      <c r="N10" s="6" t="s">
        <v>720</v>
      </c>
      <c r="O10" s="6" t="s">
        <v>721</v>
      </c>
      <c r="P10" s="6" t="s">
        <v>535</v>
      </c>
      <c r="Q10" s="22" t="s">
        <v>641</v>
      </c>
      <c r="R10" s="6" t="s">
        <v>552</v>
      </c>
    </row>
    <row r="11">
      <c r="A11" s="6" t="s">
        <v>726</v>
      </c>
      <c r="B11" s="6" t="s">
        <v>713</v>
      </c>
      <c r="C11" s="6" t="s">
        <v>543</v>
      </c>
      <c r="D11" s="6" t="s">
        <v>727</v>
      </c>
      <c r="E11" s="6" t="s">
        <v>728</v>
      </c>
      <c r="F11" s="6" t="s">
        <v>729</v>
      </c>
      <c r="G11" s="6" t="s">
        <v>562</v>
      </c>
      <c r="H11" s="6" t="s">
        <v>562</v>
      </c>
      <c r="I11" s="6" t="s">
        <v>730</v>
      </c>
      <c r="J11" s="6" t="s">
        <v>731</v>
      </c>
      <c r="K11" s="6" t="s">
        <v>568</v>
      </c>
      <c r="L11" s="6" t="s">
        <v>59</v>
      </c>
      <c r="M11" s="6" t="s">
        <v>732</v>
      </c>
      <c r="N11" s="6" t="s">
        <v>734</v>
      </c>
      <c r="O11" s="6" t="s">
        <v>735</v>
      </c>
      <c r="P11" s="6" t="s">
        <v>535</v>
      </c>
      <c r="Q11" s="22" t="s">
        <v>641</v>
      </c>
      <c r="R11" s="6" t="s">
        <v>552</v>
      </c>
    </row>
    <row r="12">
      <c r="A12" s="6" t="s">
        <v>739</v>
      </c>
      <c r="B12" s="6" t="s">
        <v>740</v>
      </c>
      <c r="C12" s="6" t="s">
        <v>158</v>
      </c>
      <c r="D12" s="6" t="s">
        <v>741</v>
      </c>
      <c r="E12" s="6" t="s">
        <v>743</v>
      </c>
      <c r="F12" s="6" t="s">
        <v>745</v>
      </c>
      <c r="G12" s="6" t="s">
        <v>747</v>
      </c>
      <c r="H12" s="6" t="s">
        <v>562</v>
      </c>
      <c r="I12" s="6" t="s">
        <v>748</v>
      </c>
      <c r="J12" s="6" t="s">
        <v>750</v>
      </c>
      <c r="K12" s="6" t="s">
        <v>524</v>
      </c>
      <c r="L12" s="6" t="s">
        <v>59</v>
      </c>
      <c r="M12" s="6" t="s">
        <v>752</v>
      </c>
      <c r="N12" s="6" t="s">
        <v>753</v>
      </c>
      <c r="O12" s="6" t="s">
        <v>755</v>
      </c>
      <c r="P12" s="6" t="s">
        <v>535</v>
      </c>
      <c r="Q12" s="22" t="s">
        <v>641</v>
      </c>
      <c r="R12" s="6" t="s">
        <v>552</v>
      </c>
    </row>
    <row r="13">
      <c r="A13" s="6" t="s">
        <v>757</v>
      </c>
      <c r="B13" s="6" t="s">
        <v>84</v>
      </c>
      <c r="C13" s="6" t="s">
        <v>580</v>
      </c>
      <c r="D13" s="6" t="s">
        <v>760</v>
      </c>
      <c r="E13" s="6" t="s">
        <v>761</v>
      </c>
      <c r="F13" s="6" t="s">
        <v>762</v>
      </c>
      <c r="G13" s="6" t="s">
        <v>763</v>
      </c>
      <c r="H13" s="6" t="s">
        <v>764</v>
      </c>
      <c r="I13" s="6" t="s">
        <v>765</v>
      </c>
      <c r="J13" s="6" t="s">
        <v>766</v>
      </c>
      <c r="K13" s="6" t="s">
        <v>767</v>
      </c>
      <c r="L13" s="6" t="s">
        <v>196</v>
      </c>
      <c r="M13" s="6" t="s">
        <v>771</v>
      </c>
      <c r="N13" s="6" t="s">
        <v>776</v>
      </c>
      <c r="O13" s="6" t="s">
        <v>777</v>
      </c>
      <c r="P13" s="6" t="s">
        <v>535</v>
      </c>
      <c r="Q13" s="22" t="s">
        <v>641</v>
      </c>
      <c r="R13" s="6" t="s">
        <v>552</v>
      </c>
    </row>
    <row r="14">
      <c r="A14" s="6" t="s">
        <v>782</v>
      </c>
      <c r="B14" s="6" t="s">
        <v>84</v>
      </c>
      <c r="C14" s="6" t="s">
        <v>617</v>
      </c>
      <c r="D14" s="6" t="s">
        <v>785</v>
      </c>
      <c r="E14" s="6" t="s">
        <v>786</v>
      </c>
      <c r="F14" s="6" t="s">
        <v>787</v>
      </c>
      <c r="G14" s="6" t="s">
        <v>788</v>
      </c>
      <c r="H14" s="6" t="s">
        <v>789</v>
      </c>
      <c r="I14" s="6" t="s">
        <v>765</v>
      </c>
      <c r="J14" s="6" t="s">
        <v>791</v>
      </c>
      <c r="K14" s="6" t="s">
        <v>767</v>
      </c>
      <c r="L14" s="6" t="s">
        <v>196</v>
      </c>
      <c r="M14" s="6" t="s">
        <v>794</v>
      </c>
      <c r="N14" s="6" t="s">
        <v>795</v>
      </c>
      <c r="O14" s="6" t="s">
        <v>796</v>
      </c>
      <c r="P14" s="6" t="s">
        <v>535</v>
      </c>
      <c r="Q14" s="22" t="s">
        <v>641</v>
      </c>
      <c r="R14" s="6" t="s">
        <v>552</v>
      </c>
    </row>
    <row r="15">
      <c r="A15" s="6" t="s">
        <v>798</v>
      </c>
      <c r="B15" s="6" t="s">
        <v>84</v>
      </c>
      <c r="C15" s="6" t="s">
        <v>621</v>
      </c>
      <c r="D15" s="6" t="s">
        <v>802</v>
      </c>
      <c r="E15" s="6" t="s">
        <v>804</v>
      </c>
      <c r="F15" s="6" t="s">
        <v>806</v>
      </c>
      <c r="G15" s="6" t="s">
        <v>788</v>
      </c>
      <c r="H15" s="6" t="s">
        <v>788</v>
      </c>
      <c r="I15" s="6" t="s">
        <v>765</v>
      </c>
      <c r="J15" s="6" t="s">
        <v>807</v>
      </c>
      <c r="K15" s="6" t="s">
        <v>767</v>
      </c>
      <c r="L15" s="6" t="s">
        <v>196</v>
      </c>
      <c r="M15" s="6" t="s">
        <v>810</v>
      </c>
      <c r="N15" s="6" t="s">
        <v>812</v>
      </c>
      <c r="O15" s="6" t="s">
        <v>814</v>
      </c>
      <c r="P15" s="6" t="s">
        <v>535</v>
      </c>
      <c r="Q15" s="22" t="s">
        <v>641</v>
      </c>
      <c r="R15" s="6" t="s">
        <v>552</v>
      </c>
    </row>
    <row r="16">
      <c r="A16" s="6" t="s">
        <v>816</v>
      </c>
      <c r="B16" s="6" t="s">
        <v>817</v>
      </c>
      <c r="C16" s="6" t="s">
        <v>634</v>
      </c>
      <c r="D16" s="6" t="s">
        <v>819</v>
      </c>
      <c r="E16" s="6" t="s">
        <v>820</v>
      </c>
      <c r="F16" s="6" t="s">
        <v>821</v>
      </c>
      <c r="G16" s="6" t="s">
        <v>763</v>
      </c>
      <c r="H16" s="6" t="s">
        <v>562</v>
      </c>
      <c r="I16" s="6" t="s">
        <v>824</v>
      </c>
      <c r="J16" s="6" t="s">
        <v>825</v>
      </c>
      <c r="K16" s="6" t="s">
        <v>767</v>
      </c>
      <c r="L16" s="6" t="s">
        <v>59</v>
      </c>
      <c r="M16" s="6" t="s">
        <v>826</v>
      </c>
      <c r="N16" s="6" t="s">
        <v>827</v>
      </c>
      <c r="O16" s="6" t="s">
        <v>828</v>
      </c>
      <c r="P16" s="6" t="s">
        <v>535</v>
      </c>
      <c r="Q16" s="22" t="s">
        <v>641</v>
      </c>
      <c r="R16" s="6" t="s">
        <v>552</v>
      </c>
    </row>
    <row r="17">
      <c r="A17" s="6" t="s">
        <v>832</v>
      </c>
      <c r="B17" s="6" t="s">
        <v>817</v>
      </c>
      <c r="C17" s="6" t="s">
        <v>634</v>
      </c>
      <c r="D17" s="6" t="s">
        <v>833</v>
      </c>
      <c r="E17" s="6" t="s">
        <v>834</v>
      </c>
      <c r="F17" s="6" t="s">
        <v>835</v>
      </c>
      <c r="G17" s="6" t="s">
        <v>788</v>
      </c>
      <c r="H17" s="6" t="s">
        <v>836</v>
      </c>
      <c r="I17" s="6" t="s">
        <v>837</v>
      </c>
      <c r="J17" s="6" t="s">
        <v>838</v>
      </c>
      <c r="K17" s="6" t="s">
        <v>840</v>
      </c>
      <c r="L17" s="6" t="s">
        <v>59</v>
      </c>
      <c r="M17" s="6" t="s">
        <v>841</v>
      </c>
      <c r="N17" s="6" t="s">
        <v>842</v>
      </c>
      <c r="O17" s="6" t="s">
        <v>844</v>
      </c>
      <c r="P17" s="6" t="s">
        <v>535</v>
      </c>
      <c r="Q17" s="22" t="s">
        <v>641</v>
      </c>
      <c r="R17" s="6" t="s">
        <v>552</v>
      </c>
    </row>
    <row r="18">
      <c r="A18" s="6" t="s">
        <v>850</v>
      </c>
      <c r="B18" s="6" t="s">
        <v>84</v>
      </c>
      <c r="C18" s="6" t="s">
        <v>643</v>
      </c>
      <c r="D18" s="6" t="s">
        <v>852</v>
      </c>
      <c r="E18" s="6" t="s">
        <v>854</v>
      </c>
      <c r="F18" s="6" t="s">
        <v>855</v>
      </c>
      <c r="G18" s="6" t="s">
        <v>788</v>
      </c>
      <c r="H18" s="6" t="s">
        <v>788</v>
      </c>
      <c r="I18" s="6" t="s">
        <v>858</v>
      </c>
      <c r="J18" s="6" t="s">
        <v>859</v>
      </c>
      <c r="K18" s="6" t="s">
        <v>840</v>
      </c>
      <c r="L18" s="6" t="s">
        <v>59</v>
      </c>
      <c r="M18" s="6" t="s">
        <v>862</v>
      </c>
      <c r="N18" s="6" t="s">
        <v>863</v>
      </c>
      <c r="O18" s="6" t="s">
        <v>864</v>
      </c>
      <c r="P18" s="6" t="s">
        <v>535</v>
      </c>
      <c r="Q18" s="22" t="s">
        <v>641</v>
      </c>
      <c r="R18" s="6" t="s">
        <v>552</v>
      </c>
    </row>
    <row r="19">
      <c r="A19" s="6" t="s">
        <v>866</v>
      </c>
      <c r="B19" s="6" t="s">
        <v>84</v>
      </c>
      <c r="C19" s="6" t="s">
        <v>651</v>
      </c>
      <c r="D19" s="6" t="s">
        <v>867</v>
      </c>
      <c r="E19" s="6" t="s">
        <v>869</v>
      </c>
      <c r="F19" s="6" t="s">
        <v>872</v>
      </c>
      <c r="G19" s="6" t="s">
        <v>788</v>
      </c>
      <c r="H19" s="6" t="s">
        <v>788</v>
      </c>
      <c r="I19" s="6" t="s">
        <v>873</v>
      </c>
      <c r="J19" s="6" t="s">
        <v>874</v>
      </c>
      <c r="K19" s="6" t="s">
        <v>767</v>
      </c>
      <c r="L19" s="6" t="s">
        <v>196</v>
      </c>
      <c r="M19" s="6" t="s">
        <v>875</v>
      </c>
      <c r="N19" s="6" t="s">
        <v>876</v>
      </c>
      <c r="O19" s="6" t="s">
        <v>878</v>
      </c>
      <c r="P19" s="6" t="s">
        <v>535</v>
      </c>
      <c r="Q19" s="22" t="s">
        <v>641</v>
      </c>
      <c r="R19" s="6" t="s">
        <v>552</v>
      </c>
    </row>
    <row r="20">
      <c r="A20" s="6" t="s">
        <v>881</v>
      </c>
      <c r="B20" s="6" t="s">
        <v>84</v>
      </c>
      <c r="C20" s="6" t="s">
        <v>654</v>
      </c>
      <c r="D20" s="6" t="s">
        <v>882</v>
      </c>
      <c r="E20" s="6" t="s">
        <v>884</v>
      </c>
      <c r="F20" s="6" t="s">
        <v>887</v>
      </c>
      <c r="G20" s="6" t="s">
        <v>788</v>
      </c>
      <c r="H20" s="6" t="s">
        <v>888</v>
      </c>
      <c r="I20" s="6" t="s">
        <v>889</v>
      </c>
      <c r="J20" s="6" t="s">
        <v>890</v>
      </c>
      <c r="K20" s="6" t="s">
        <v>840</v>
      </c>
      <c r="L20" s="6" t="s">
        <v>59</v>
      </c>
      <c r="M20" s="6" t="s">
        <v>891</v>
      </c>
      <c r="N20" s="6" t="s">
        <v>892</v>
      </c>
      <c r="O20" s="6" t="s">
        <v>894</v>
      </c>
      <c r="P20" s="6" t="s">
        <v>535</v>
      </c>
      <c r="Q20" s="22" t="s">
        <v>641</v>
      </c>
      <c r="R20" s="6" t="s">
        <v>552</v>
      </c>
    </row>
    <row r="21">
      <c r="A21" s="6" t="s">
        <v>897</v>
      </c>
      <c r="B21" s="6" t="s">
        <v>898</v>
      </c>
      <c r="C21" s="6" t="s">
        <v>661</v>
      </c>
      <c r="D21" s="6" t="s">
        <v>899</v>
      </c>
      <c r="E21" s="6" t="s">
        <v>900</v>
      </c>
      <c r="F21" s="6" t="s">
        <v>901</v>
      </c>
      <c r="G21" s="6" t="s">
        <v>763</v>
      </c>
      <c r="H21" s="6" t="s">
        <v>902</v>
      </c>
      <c r="I21" s="6" t="s">
        <v>904</v>
      </c>
      <c r="J21" s="6" t="s">
        <v>905</v>
      </c>
      <c r="K21" s="6" t="s">
        <v>840</v>
      </c>
      <c r="L21" s="6" t="s">
        <v>196</v>
      </c>
      <c r="M21" s="6" t="s">
        <v>909</v>
      </c>
      <c r="N21" s="6" t="s">
        <v>910</v>
      </c>
      <c r="O21" s="6" t="s">
        <v>912</v>
      </c>
      <c r="P21" s="6" t="s">
        <v>535</v>
      </c>
      <c r="Q21" s="22" t="s">
        <v>641</v>
      </c>
      <c r="R21" s="6" t="s">
        <v>552</v>
      </c>
    </row>
    <row r="22">
      <c r="A22" s="6" t="s">
        <v>915</v>
      </c>
      <c r="B22" s="6" t="s">
        <v>916</v>
      </c>
      <c r="C22" s="6" t="s">
        <v>201</v>
      </c>
      <c r="D22" s="6" t="s">
        <v>917</v>
      </c>
      <c r="E22" s="6" t="s">
        <v>919</v>
      </c>
      <c r="F22" s="6" t="s">
        <v>920</v>
      </c>
      <c r="G22" s="6" t="s">
        <v>562</v>
      </c>
      <c r="H22" s="6" t="s">
        <v>562</v>
      </c>
      <c r="I22" s="6" t="s">
        <v>924</v>
      </c>
      <c r="J22" s="6" t="s">
        <v>925</v>
      </c>
      <c r="K22" s="6" t="s">
        <v>524</v>
      </c>
      <c r="L22" s="6" t="s">
        <v>59</v>
      </c>
      <c r="M22" s="6" t="s">
        <v>927</v>
      </c>
      <c r="N22" s="6" t="s">
        <v>928</v>
      </c>
      <c r="O22" s="6" t="s">
        <v>929</v>
      </c>
      <c r="P22" s="6" t="s">
        <v>190</v>
      </c>
      <c r="Q22" s="22" t="s">
        <v>668</v>
      </c>
      <c r="R22" s="6" t="s">
        <v>552</v>
      </c>
    </row>
    <row r="23">
      <c r="A23" s="6" t="s">
        <v>931</v>
      </c>
      <c r="B23" s="6" t="s">
        <v>107</v>
      </c>
      <c r="C23" s="6" t="s">
        <v>201</v>
      </c>
      <c r="D23" s="6" t="s">
        <v>935</v>
      </c>
      <c r="E23" s="6" t="s">
        <v>936</v>
      </c>
      <c r="F23" s="6" t="s">
        <v>937</v>
      </c>
      <c r="G23" s="6" t="s">
        <v>562</v>
      </c>
      <c r="H23" s="6" t="s">
        <v>562</v>
      </c>
      <c r="I23" s="6" t="s">
        <v>107</v>
      </c>
      <c r="J23" s="6" t="s">
        <v>938</v>
      </c>
      <c r="K23" s="6" t="s">
        <v>524</v>
      </c>
      <c r="L23" s="6" t="s">
        <v>59</v>
      </c>
      <c r="M23" s="6" t="s">
        <v>939</v>
      </c>
      <c r="N23" s="6" t="s">
        <v>940</v>
      </c>
      <c r="O23" s="6" t="s">
        <v>941</v>
      </c>
      <c r="P23" s="6" t="s">
        <v>190</v>
      </c>
      <c r="Q23" s="22" t="s">
        <v>668</v>
      </c>
      <c r="R23" s="6" t="s">
        <v>552</v>
      </c>
    </row>
    <row r="24">
      <c r="A24" s="6" t="s">
        <v>942</v>
      </c>
      <c r="B24" s="6" t="s">
        <v>107</v>
      </c>
      <c r="C24" s="6" t="s">
        <v>201</v>
      </c>
      <c r="D24" s="6" t="s">
        <v>944</v>
      </c>
      <c r="E24" s="6" t="s">
        <v>946</v>
      </c>
      <c r="F24" s="6" t="s">
        <v>948</v>
      </c>
      <c r="G24" s="6" t="s">
        <v>949</v>
      </c>
      <c r="H24" s="6" t="s">
        <v>562</v>
      </c>
      <c r="I24" s="6" t="s">
        <v>950</v>
      </c>
      <c r="J24" s="6" t="s">
        <v>951</v>
      </c>
      <c r="K24" s="6" t="s">
        <v>524</v>
      </c>
      <c r="L24" s="6" t="s">
        <v>59</v>
      </c>
      <c r="M24" s="6" t="s">
        <v>952</v>
      </c>
      <c r="N24" s="6" t="s">
        <v>954</v>
      </c>
      <c r="O24" s="6" t="s">
        <v>956</v>
      </c>
      <c r="P24" s="6" t="s">
        <v>190</v>
      </c>
      <c r="Q24" s="22" t="s">
        <v>668</v>
      </c>
      <c r="R24" s="6" t="s">
        <v>552</v>
      </c>
    </row>
    <row r="25">
      <c r="A25" s="6" t="s">
        <v>960</v>
      </c>
      <c r="B25" s="6" t="s">
        <v>107</v>
      </c>
      <c r="C25" s="6" t="s">
        <v>201</v>
      </c>
      <c r="D25" s="6" t="s">
        <v>961</v>
      </c>
      <c r="E25" s="6" t="s">
        <v>963</v>
      </c>
      <c r="F25" s="6" t="s">
        <v>964</v>
      </c>
      <c r="G25" s="6" t="s">
        <v>562</v>
      </c>
      <c r="H25" s="6" t="s">
        <v>562</v>
      </c>
      <c r="I25" s="6" t="s">
        <v>107</v>
      </c>
      <c r="J25" s="6" t="s">
        <v>967</v>
      </c>
      <c r="K25" s="6" t="s">
        <v>524</v>
      </c>
      <c r="L25" s="6" t="s">
        <v>196</v>
      </c>
      <c r="M25" s="6" t="s">
        <v>968</v>
      </c>
      <c r="N25" s="6" t="s">
        <v>969</v>
      </c>
      <c r="O25" s="6" t="s">
        <v>970</v>
      </c>
      <c r="P25" s="6" t="s">
        <v>190</v>
      </c>
      <c r="Q25" s="22" t="s">
        <v>668</v>
      </c>
      <c r="R25" s="6" t="s">
        <v>552</v>
      </c>
    </row>
    <row r="26">
      <c r="A26" s="6" t="s">
        <v>973</v>
      </c>
      <c r="B26" s="6" t="s">
        <v>107</v>
      </c>
      <c r="C26" s="6" t="s">
        <v>201</v>
      </c>
      <c r="D26" s="6" t="s">
        <v>975</v>
      </c>
      <c r="E26" s="6" t="s">
        <v>976</v>
      </c>
      <c r="F26" s="6" t="s">
        <v>977</v>
      </c>
      <c r="G26" s="6" t="s">
        <v>978</v>
      </c>
      <c r="H26" s="6" t="s">
        <v>562</v>
      </c>
      <c r="I26" s="6" t="s">
        <v>980</v>
      </c>
      <c r="J26" s="6" t="s">
        <v>981</v>
      </c>
      <c r="K26" s="6" t="s">
        <v>524</v>
      </c>
      <c r="L26" s="6" t="s">
        <v>137</v>
      </c>
      <c r="M26" s="6" t="s">
        <v>985</v>
      </c>
      <c r="N26" s="6" t="s">
        <v>988</v>
      </c>
      <c r="O26" s="6" t="s">
        <v>990</v>
      </c>
      <c r="P26" s="6" t="s">
        <v>190</v>
      </c>
      <c r="Q26" s="22" t="s">
        <v>668</v>
      </c>
      <c r="R26" s="6" t="s">
        <v>552</v>
      </c>
    </row>
    <row r="27">
      <c r="A27" s="6" t="s">
        <v>992</v>
      </c>
      <c r="B27" s="6" t="s">
        <v>993</v>
      </c>
      <c r="C27" s="6" t="s">
        <v>170</v>
      </c>
      <c r="D27" s="6" t="s">
        <v>996</v>
      </c>
      <c r="E27" s="6" t="s">
        <v>997</v>
      </c>
      <c r="F27" s="6" t="s">
        <v>998</v>
      </c>
      <c r="G27" s="6" t="s">
        <v>632</v>
      </c>
      <c r="H27" s="6" t="s">
        <v>562</v>
      </c>
      <c r="I27" s="6" t="s">
        <v>999</v>
      </c>
      <c r="J27" s="6" t="s">
        <v>1000</v>
      </c>
      <c r="K27" s="6" t="s">
        <v>524</v>
      </c>
      <c r="L27" s="6" t="s">
        <v>59</v>
      </c>
      <c r="M27" s="6" t="s">
        <v>1002</v>
      </c>
      <c r="N27" s="6" t="s">
        <v>1003</v>
      </c>
      <c r="O27" s="6" t="s">
        <v>1005</v>
      </c>
      <c r="P27" s="6" t="s">
        <v>535</v>
      </c>
      <c r="Q27" s="22" t="s">
        <v>641</v>
      </c>
      <c r="R27" s="6" t="s">
        <v>552</v>
      </c>
    </row>
    <row r="28">
      <c r="A28" s="6" t="s">
        <v>1011</v>
      </c>
      <c r="B28" s="6" t="s">
        <v>1012</v>
      </c>
      <c r="C28" s="6" t="s">
        <v>170</v>
      </c>
      <c r="D28" s="6" t="s">
        <v>1013</v>
      </c>
      <c r="E28" s="6" t="s">
        <v>1014</v>
      </c>
      <c r="F28" s="6" t="s">
        <v>1016</v>
      </c>
      <c r="G28" s="6" t="s">
        <v>562</v>
      </c>
      <c r="H28" s="6" t="s">
        <v>562</v>
      </c>
      <c r="I28" s="6" t="s">
        <v>1017</v>
      </c>
      <c r="J28" s="6" t="s">
        <v>1019</v>
      </c>
      <c r="K28" s="6" t="s">
        <v>524</v>
      </c>
      <c r="L28" s="6" t="s">
        <v>59</v>
      </c>
      <c r="M28" s="6" t="s">
        <v>1022</v>
      </c>
      <c r="N28" s="6" t="s">
        <v>1023</v>
      </c>
      <c r="O28" s="6" t="s">
        <v>1024</v>
      </c>
      <c r="P28" s="6" t="s">
        <v>190</v>
      </c>
      <c r="Q28" s="22" t="s">
        <v>668</v>
      </c>
      <c r="R28" s="6" t="s">
        <v>552</v>
      </c>
    </row>
    <row r="29">
      <c r="A29" s="6" t="s">
        <v>1028</v>
      </c>
      <c r="B29" s="6" t="s">
        <v>993</v>
      </c>
      <c r="C29" s="6" t="s">
        <v>1029</v>
      </c>
      <c r="D29" s="6" t="s">
        <v>1030</v>
      </c>
      <c r="E29" s="6" t="s">
        <v>1031</v>
      </c>
      <c r="F29" s="6" t="s">
        <v>1032</v>
      </c>
      <c r="G29" s="6" t="s">
        <v>1033</v>
      </c>
      <c r="H29" s="6" t="s">
        <v>1034</v>
      </c>
      <c r="I29" s="6" t="s">
        <v>1036</v>
      </c>
      <c r="J29" s="6" t="s">
        <v>967</v>
      </c>
      <c r="K29" s="6" t="s">
        <v>1037</v>
      </c>
      <c r="L29" s="6" t="s">
        <v>196</v>
      </c>
      <c r="M29" s="6" t="s">
        <v>1039</v>
      </c>
      <c r="N29" s="6" t="s">
        <v>1041</v>
      </c>
      <c r="O29" s="6" t="s">
        <v>1044</v>
      </c>
      <c r="P29" s="6" t="s">
        <v>1045</v>
      </c>
      <c r="Q29" s="22" t="s">
        <v>668</v>
      </c>
      <c r="R29" s="6" t="s">
        <v>552</v>
      </c>
    </row>
    <row r="30">
      <c r="A30" s="6" t="s">
        <v>1049</v>
      </c>
      <c r="B30" s="6" t="s">
        <v>1050</v>
      </c>
      <c r="C30" s="6" t="s">
        <v>1051</v>
      </c>
      <c r="D30" s="6" t="s">
        <v>1052</v>
      </c>
      <c r="E30" s="6" t="s">
        <v>1053</v>
      </c>
      <c r="F30" s="6" t="s">
        <v>1054</v>
      </c>
      <c r="G30" s="6" t="s">
        <v>1055</v>
      </c>
      <c r="H30" s="6" t="s">
        <v>1056</v>
      </c>
      <c r="I30" s="6" t="s">
        <v>1057</v>
      </c>
      <c r="J30" s="6" t="s">
        <v>1058</v>
      </c>
      <c r="K30" s="6" t="s">
        <v>187</v>
      </c>
      <c r="L30" s="6" t="s">
        <v>137</v>
      </c>
      <c r="M30" s="6" t="s">
        <v>1059</v>
      </c>
      <c r="N30" s="6" t="s">
        <v>1060</v>
      </c>
      <c r="O30" s="6" t="s">
        <v>1061</v>
      </c>
      <c r="P30" s="6" t="s">
        <v>675</v>
      </c>
      <c r="Q30" s="22" t="s">
        <v>676</v>
      </c>
      <c r="R30" s="6" t="s">
        <v>552</v>
      </c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</hyperlinks>
  <drawing r:id="rId3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2.88"/>
    <col customWidth="1" min="3" max="3" width="12.63"/>
    <col customWidth="1" min="4" max="6" width="13.0"/>
    <col customWidth="1" min="7" max="7" width="12.75"/>
    <col customWidth="1" min="8" max="8" width="12.38"/>
    <col customWidth="1" min="9" max="10" width="13.0"/>
    <col customWidth="1" min="11" max="12" width="13.13"/>
    <col customWidth="1" min="13" max="13" width="12.13"/>
  </cols>
  <sheetData>
    <row r="1">
      <c r="A1" s="2" t="s">
        <v>1101</v>
      </c>
      <c r="B1" s="2" t="s">
        <v>1105</v>
      </c>
      <c r="C1" s="2" t="s">
        <v>1108</v>
      </c>
      <c r="D1" s="2" t="s">
        <v>207</v>
      </c>
      <c r="E1" s="2" t="s">
        <v>1110</v>
      </c>
      <c r="F1" s="2" t="s">
        <v>1112</v>
      </c>
      <c r="G1" s="2" t="s">
        <v>1113</v>
      </c>
      <c r="H1" s="2" t="s">
        <v>1114</v>
      </c>
      <c r="I1" s="2" t="s">
        <v>1116</v>
      </c>
      <c r="J1" s="2" t="s">
        <v>1117</v>
      </c>
      <c r="K1" s="2" t="s">
        <v>1118</v>
      </c>
      <c r="L1" s="2" t="s">
        <v>1120</v>
      </c>
      <c r="M1" s="2" t="s">
        <v>1121</v>
      </c>
    </row>
    <row r="2">
      <c r="A2" s="3" t="s">
        <v>1123</v>
      </c>
      <c r="B2" s="3" t="s">
        <v>1124</v>
      </c>
      <c r="C2" s="3" t="s">
        <v>1126</v>
      </c>
      <c r="D2" s="3" t="s">
        <v>1127</v>
      </c>
      <c r="E2" s="3" t="s">
        <v>1129</v>
      </c>
      <c r="F2" s="3" t="s">
        <v>1130</v>
      </c>
      <c r="G2" s="3" t="s">
        <v>1130</v>
      </c>
      <c r="H2" s="3" t="s">
        <v>1132</v>
      </c>
      <c r="I2" s="3" t="s">
        <v>1133</v>
      </c>
      <c r="J2" s="3" t="s">
        <v>1134</v>
      </c>
      <c r="K2" s="3" t="s">
        <v>1135</v>
      </c>
      <c r="L2" s="3" t="s">
        <v>1136</v>
      </c>
      <c r="M2" s="3" t="s">
        <v>1137</v>
      </c>
    </row>
    <row r="3">
      <c r="A3" s="3" t="s">
        <v>1138</v>
      </c>
      <c r="B3" s="3" t="s">
        <v>1140</v>
      </c>
      <c r="C3" s="3" t="s">
        <v>1141</v>
      </c>
      <c r="D3" s="3" t="s">
        <v>1142</v>
      </c>
      <c r="E3" s="3" t="s">
        <v>1143</v>
      </c>
      <c r="F3" s="3" t="s">
        <v>1144</v>
      </c>
      <c r="G3" s="3" t="s">
        <v>1145</v>
      </c>
      <c r="H3" s="3" t="s">
        <v>1146</v>
      </c>
      <c r="I3" s="3" t="s">
        <v>1147</v>
      </c>
      <c r="J3" s="3" t="s">
        <v>1148</v>
      </c>
      <c r="K3" s="3" t="s">
        <v>1149</v>
      </c>
      <c r="L3" s="3" t="s">
        <v>1150</v>
      </c>
      <c r="M3" s="3" t="s">
        <v>1137</v>
      </c>
    </row>
    <row r="4">
      <c r="A4" s="3" t="s">
        <v>1151</v>
      </c>
      <c r="B4" s="3" t="s">
        <v>1152</v>
      </c>
      <c r="C4" s="3" t="s">
        <v>1153</v>
      </c>
      <c r="D4" s="3" t="s">
        <v>1154</v>
      </c>
      <c r="E4" s="3" t="s">
        <v>1155</v>
      </c>
      <c r="F4" s="3" t="s">
        <v>1157</v>
      </c>
      <c r="G4" s="3" t="s">
        <v>1158</v>
      </c>
      <c r="H4" s="3" t="s">
        <v>1159</v>
      </c>
      <c r="I4" s="3" t="s">
        <v>1160</v>
      </c>
      <c r="J4" s="3" t="s">
        <v>1162</v>
      </c>
      <c r="K4" s="3" t="s">
        <v>1164</v>
      </c>
      <c r="L4" s="3" t="s">
        <v>1165</v>
      </c>
      <c r="M4" s="3" t="s">
        <v>1167</v>
      </c>
    </row>
    <row r="5">
      <c r="A5" s="3" t="s">
        <v>1168</v>
      </c>
      <c r="B5" s="3" t="s">
        <v>1170</v>
      </c>
      <c r="C5" s="3" t="s">
        <v>1153</v>
      </c>
      <c r="D5" s="3" t="s">
        <v>1171</v>
      </c>
      <c r="E5" s="3" t="s">
        <v>1172</v>
      </c>
      <c r="F5" s="3" t="s">
        <v>1173</v>
      </c>
      <c r="G5" s="3" t="s">
        <v>1174</v>
      </c>
      <c r="H5" s="3" t="s">
        <v>1175</v>
      </c>
      <c r="I5" s="3" t="s">
        <v>1176</v>
      </c>
      <c r="J5" s="3" t="s">
        <v>1178</v>
      </c>
      <c r="K5" s="3" t="s">
        <v>1179</v>
      </c>
      <c r="L5" s="3" t="s">
        <v>1180</v>
      </c>
      <c r="M5" s="3" t="s">
        <v>1181</v>
      </c>
    </row>
    <row r="6">
      <c r="A6" s="3" t="s">
        <v>1182</v>
      </c>
      <c r="B6" s="3" t="s">
        <v>1183</v>
      </c>
      <c r="C6" s="3" t="s">
        <v>1184</v>
      </c>
      <c r="D6" s="3" t="s">
        <v>1186</v>
      </c>
      <c r="E6" s="3" t="s">
        <v>1187</v>
      </c>
      <c r="F6" s="3" t="s">
        <v>1188</v>
      </c>
      <c r="G6" s="3" t="s">
        <v>1189</v>
      </c>
      <c r="H6" s="3" t="s">
        <v>1146</v>
      </c>
      <c r="I6" s="3" t="s">
        <v>1190</v>
      </c>
      <c r="J6" s="3" t="s">
        <v>1192</v>
      </c>
      <c r="K6" s="3" t="s">
        <v>1193</v>
      </c>
      <c r="L6" s="3" t="s">
        <v>1194</v>
      </c>
      <c r="M6" s="3" t="s">
        <v>1137</v>
      </c>
    </row>
    <row r="7">
      <c r="A7" s="3" t="s">
        <v>1195</v>
      </c>
      <c r="B7" s="3" t="s">
        <v>1196</v>
      </c>
      <c r="C7" s="3" t="s">
        <v>1197</v>
      </c>
      <c r="D7" s="3" t="s">
        <v>1198</v>
      </c>
      <c r="E7" s="3" t="s">
        <v>1199</v>
      </c>
      <c r="F7" s="3" t="s">
        <v>1201</v>
      </c>
      <c r="G7" s="3" t="s">
        <v>1202</v>
      </c>
      <c r="H7" s="3" t="s">
        <v>1146</v>
      </c>
      <c r="I7" s="3" t="s">
        <v>1206</v>
      </c>
      <c r="J7" s="3" t="s">
        <v>1207</v>
      </c>
      <c r="K7" s="3" t="s">
        <v>1210</v>
      </c>
      <c r="L7" s="3" t="s">
        <v>1213</v>
      </c>
      <c r="M7" s="3" t="s">
        <v>1137</v>
      </c>
    </row>
    <row r="8">
      <c r="A8" s="3" t="s">
        <v>1216</v>
      </c>
      <c r="B8" s="3" t="s">
        <v>1218</v>
      </c>
      <c r="C8" s="3" t="s">
        <v>1219</v>
      </c>
      <c r="D8" s="3" t="s">
        <v>1221</v>
      </c>
      <c r="E8" s="3" t="s">
        <v>1222</v>
      </c>
      <c r="F8" s="3" t="s">
        <v>1225</v>
      </c>
      <c r="G8" s="3" t="s">
        <v>1202</v>
      </c>
      <c r="H8" s="3" t="s">
        <v>1146</v>
      </c>
      <c r="I8" s="3" t="s">
        <v>1206</v>
      </c>
      <c r="J8" s="3" t="s">
        <v>1228</v>
      </c>
      <c r="K8" s="3" t="s">
        <v>1230</v>
      </c>
      <c r="L8" s="3" t="s">
        <v>1231</v>
      </c>
      <c r="M8" s="3" t="s">
        <v>1137</v>
      </c>
    </row>
    <row r="9">
      <c r="A9" s="3" t="s">
        <v>1232</v>
      </c>
      <c r="B9" s="3" t="s">
        <v>1234</v>
      </c>
      <c r="C9" s="3" t="s">
        <v>1126</v>
      </c>
      <c r="D9" s="3" t="s">
        <v>1236</v>
      </c>
      <c r="E9" s="3" t="s">
        <v>1237</v>
      </c>
      <c r="F9" s="3" t="s">
        <v>1130</v>
      </c>
      <c r="G9" s="3" t="s">
        <v>1130</v>
      </c>
      <c r="H9" s="3" t="s">
        <v>1241</v>
      </c>
      <c r="I9" s="3" t="s">
        <v>1243</v>
      </c>
      <c r="J9" s="3" t="s">
        <v>1228</v>
      </c>
      <c r="K9" s="3" t="s">
        <v>1245</v>
      </c>
      <c r="L9" s="3" t="s">
        <v>1247</v>
      </c>
      <c r="M9" s="3" t="s">
        <v>1250</v>
      </c>
    </row>
    <row r="10">
      <c r="A10" s="3" t="s">
        <v>1252</v>
      </c>
      <c r="B10" s="3" t="s">
        <v>1253</v>
      </c>
      <c r="C10" s="3" t="s">
        <v>1254</v>
      </c>
      <c r="D10" s="3" t="s">
        <v>1255</v>
      </c>
      <c r="E10" s="3" t="s">
        <v>1256</v>
      </c>
      <c r="F10" s="3" t="s">
        <v>1258</v>
      </c>
      <c r="G10" s="3" t="s">
        <v>1259</v>
      </c>
      <c r="H10" s="3" t="s">
        <v>1146</v>
      </c>
      <c r="I10" s="3" t="s">
        <v>1260</v>
      </c>
      <c r="J10" s="3" t="s">
        <v>1261</v>
      </c>
      <c r="K10" s="3" t="s">
        <v>1263</v>
      </c>
      <c r="L10" s="3" t="s">
        <v>1264</v>
      </c>
      <c r="M10" s="3" t="s">
        <v>1137</v>
      </c>
    </row>
    <row r="11">
      <c r="A11" s="3" t="s">
        <v>1265</v>
      </c>
      <c r="B11" s="3" t="s">
        <v>1266</v>
      </c>
      <c r="C11" s="3" t="s">
        <v>1267</v>
      </c>
      <c r="D11" s="3" t="s">
        <v>1268</v>
      </c>
      <c r="E11" s="3" t="s">
        <v>1269</v>
      </c>
      <c r="F11" s="3" t="s">
        <v>1270</v>
      </c>
      <c r="G11" s="3" t="s">
        <v>1271</v>
      </c>
      <c r="H11" s="3" t="s">
        <v>1146</v>
      </c>
      <c r="I11" s="3" t="s">
        <v>1272</v>
      </c>
      <c r="J11" s="3" t="s">
        <v>1273</v>
      </c>
      <c r="K11" s="3" t="s">
        <v>1274</v>
      </c>
      <c r="L11" s="3" t="s">
        <v>1275</v>
      </c>
      <c r="M11" s="3" t="s">
        <v>1137</v>
      </c>
    </row>
    <row r="12">
      <c r="A12" s="3" t="s">
        <v>1276</v>
      </c>
      <c r="B12" s="3" t="s">
        <v>1277</v>
      </c>
      <c r="C12" s="3" t="s">
        <v>1184</v>
      </c>
      <c r="D12" s="3" t="s">
        <v>1278</v>
      </c>
      <c r="E12" s="3" t="s">
        <v>1279</v>
      </c>
      <c r="F12" s="3" t="s">
        <v>1280</v>
      </c>
      <c r="G12" s="3" t="s">
        <v>1281</v>
      </c>
      <c r="H12" s="3" t="s">
        <v>1146</v>
      </c>
      <c r="I12" s="3" t="s">
        <v>1272</v>
      </c>
      <c r="J12" s="3" t="s">
        <v>1282</v>
      </c>
      <c r="K12" s="3" t="s">
        <v>1283</v>
      </c>
      <c r="L12" s="3" t="s">
        <v>1284</v>
      </c>
      <c r="M12" s="3" t="s">
        <v>1137</v>
      </c>
    </row>
    <row r="13">
      <c r="A13" s="3" t="s">
        <v>1285</v>
      </c>
      <c r="B13" s="3" t="s">
        <v>1286</v>
      </c>
      <c r="C13" s="3" t="s">
        <v>1126</v>
      </c>
      <c r="D13" s="3" t="s">
        <v>1287</v>
      </c>
      <c r="E13" s="3" t="s">
        <v>1288</v>
      </c>
      <c r="F13" s="3" t="s">
        <v>1130</v>
      </c>
      <c r="G13" s="3" t="s">
        <v>1130</v>
      </c>
      <c r="H13" s="3" t="s">
        <v>1289</v>
      </c>
      <c r="I13" s="3" t="s">
        <v>1290</v>
      </c>
      <c r="J13" s="3" t="s">
        <v>1291</v>
      </c>
      <c r="K13" s="3" t="s">
        <v>1292</v>
      </c>
      <c r="L13" s="3" t="s">
        <v>1293</v>
      </c>
      <c r="M13" s="3" t="s">
        <v>1137</v>
      </c>
    </row>
    <row r="14">
      <c r="A14" s="3" t="s">
        <v>1294</v>
      </c>
      <c r="B14" s="3" t="s">
        <v>1295</v>
      </c>
      <c r="C14" s="3" t="s">
        <v>1126</v>
      </c>
      <c r="D14" s="3" t="s">
        <v>1296</v>
      </c>
      <c r="E14" s="3" t="s">
        <v>1297</v>
      </c>
      <c r="F14" s="3" t="s">
        <v>1130</v>
      </c>
      <c r="G14" s="3" t="s">
        <v>1130</v>
      </c>
      <c r="H14" s="3" t="s">
        <v>1289</v>
      </c>
      <c r="I14" s="3" t="s">
        <v>1301</v>
      </c>
      <c r="J14" s="3" t="s">
        <v>1303</v>
      </c>
      <c r="K14" s="3" t="s">
        <v>1304</v>
      </c>
      <c r="L14" s="3" t="s">
        <v>1293</v>
      </c>
      <c r="M14" s="3" t="s">
        <v>1137</v>
      </c>
    </row>
    <row r="15">
      <c r="A15" s="3" t="s">
        <v>1308</v>
      </c>
      <c r="B15" s="3" t="s">
        <v>1310</v>
      </c>
      <c r="C15" s="3" t="s">
        <v>1312</v>
      </c>
      <c r="D15" s="3" t="s">
        <v>1314</v>
      </c>
      <c r="E15" s="3" t="s">
        <v>1316</v>
      </c>
      <c r="F15" s="3" t="s">
        <v>1317</v>
      </c>
      <c r="G15" s="3" t="s">
        <v>1318</v>
      </c>
      <c r="H15" s="3" t="s">
        <v>1146</v>
      </c>
      <c r="I15" s="3" t="s">
        <v>1319</v>
      </c>
      <c r="J15" s="3" t="s">
        <v>1320</v>
      </c>
      <c r="K15" s="3" t="s">
        <v>1321</v>
      </c>
      <c r="L15" s="3" t="s">
        <v>1322</v>
      </c>
      <c r="M15" s="3" t="s">
        <v>1137</v>
      </c>
    </row>
    <row r="16">
      <c r="A16" s="3" t="s">
        <v>1323</v>
      </c>
      <c r="B16" s="3" t="s">
        <v>1324</v>
      </c>
      <c r="C16" s="3" t="s">
        <v>1126</v>
      </c>
      <c r="D16" s="3" t="s">
        <v>1325</v>
      </c>
      <c r="E16" s="3" t="s">
        <v>1326</v>
      </c>
      <c r="F16" s="3" t="s">
        <v>1130</v>
      </c>
      <c r="G16" s="3" t="s">
        <v>1130</v>
      </c>
      <c r="H16" s="3" t="s">
        <v>1327</v>
      </c>
      <c r="I16" s="3" t="s">
        <v>1328</v>
      </c>
      <c r="J16" s="3" t="s">
        <v>1329</v>
      </c>
      <c r="K16" s="3" t="s">
        <v>1330</v>
      </c>
      <c r="L16" s="3" t="s">
        <v>1293</v>
      </c>
      <c r="M16" s="3" t="s">
        <v>1137</v>
      </c>
    </row>
    <row r="17">
      <c r="A17" s="3" t="s">
        <v>1331</v>
      </c>
      <c r="B17" s="3" t="s">
        <v>1332</v>
      </c>
      <c r="C17" s="3" t="s">
        <v>1333</v>
      </c>
      <c r="D17" s="3" t="s">
        <v>1334</v>
      </c>
      <c r="E17" s="3" t="s">
        <v>1335</v>
      </c>
      <c r="F17" s="3" t="s">
        <v>1336</v>
      </c>
      <c r="G17" s="3" t="s">
        <v>1337</v>
      </c>
      <c r="H17" s="3" t="s">
        <v>1146</v>
      </c>
      <c r="I17" s="3" t="s">
        <v>1338</v>
      </c>
      <c r="J17" s="3" t="s">
        <v>1339</v>
      </c>
      <c r="K17" s="3" t="s">
        <v>1340</v>
      </c>
      <c r="L17" s="3" t="s">
        <v>1341</v>
      </c>
      <c r="M17" s="3" t="s">
        <v>1137</v>
      </c>
    </row>
    <row r="18">
      <c r="A18" s="3" t="s">
        <v>1342</v>
      </c>
      <c r="B18" s="3" t="s">
        <v>1343</v>
      </c>
      <c r="C18" s="3" t="s">
        <v>1344</v>
      </c>
      <c r="D18" s="3" t="s">
        <v>1345</v>
      </c>
      <c r="E18" s="3" t="s">
        <v>1346</v>
      </c>
      <c r="F18" s="3" t="s">
        <v>1347</v>
      </c>
      <c r="G18" s="3" t="s">
        <v>1348</v>
      </c>
      <c r="H18" s="3" t="s">
        <v>1146</v>
      </c>
      <c r="I18" s="3" t="s">
        <v>1349</v>
      </c>
      <c r="J18" s="3" t="s">
        <v>1350</v>
      </c>
      <c r="K18" s="3" t="s">
        <v>1351</v>
      </c>
      <c r="L18" s="3" t="s">
        <v>1352</v>
      </c>
      <c r="M18" s="3" t="s">
        <v>1354</v>
      </c>
    </row>
    <row r="19">
      <c r="A19" s="3" t="s">
        <v>1356</v>
      </c>
      <c r="B19" s="3" t="s">
        <v>1358</v>
      </c>
      <c r="C19" s="3" t="s">
        <v>1360</v>
      </c>
      <c r="D19" s="3" t="s">
        <v>1362</v>
      </c>
      <c r="E19" s="3" t="s">
        <v>1364</v>
      </c>
      <c r="F19" s="3" t="s">
        <v>1365</v>
      </c>
      <c r="G19" s="3" t="s">
        <v>1367</v>
      </c>
      <c r="H19" s="3" t="s">
        <v>1146</v>
      </c>
      <c r="I19" s="3" t="s">
        <v>1370</v>
      </c>
      <c r="J19" s="3" t="s">
        <v>1372</v>
      </c>
      <c r="K19" s="3" t="s">
        <v>1374</v>
      </c>
      <c r="L19" s="3" t="s">
        <v>1375</v>
      </c>
      <c r="M19" s="3" t="s">
        <v>1137</v>
      </c>
    </row>
    <row r="20">
      <c r="A20" s="3" t="s">
        <v>1376</v>
      </c>
      <c r="B20" s="3" t="s">
        <v>1378</v>
      </c>
      <c r="C20" s="3" t="s">
        <v>1219</v>
      </c>
      <c r="D20" s="3" t="s">
        <v>1381</v>
      </c>
      <c r="E20" s="3" t="s">
        <v>1383</v>
      </c>
      <c r="F20" s="3" t="s">
        <v>1385</v>
      </c>
      <c r="G20" s="3" t="s">
        <v>1386</v>
      </c>
      <c r="H20" s="3" t="s">
        <v>1146</v>
      </c>
      <c r="I20" s="3" t="s">
        <v>1388</v>
      </c>
      <c r="J20" s="3" t="s">
        <v>1390</v>
      </c>
      <c r="K20" s="3" t="s">
        <v>1391</v>
      </c>
      <c r="L20" s="3" t="s">
        <v>1392</v>
      </c>
      <c r="M20" s="3" t="s">
        <v>1137</v>
      </c>
    </row>
    <row r="21">
      <c r="A21" s="3" t="s">
        <v>1393</v>
      </c>
      <c r="B21" s="3" t="s">
        <v>1394</v>
      </c>
      <c r="C21" s="3" t="s">
        <v>1126</v>
      </c>
      <c r="D21" s="3" t="s">
        <v>1395</v>
      </c>
      <c r="E21" s="3" t="s">
        <v>1396</v>
      </c>
      <c r="F21" s="3" t="s">
        <v>1130</v>
      </c>
      <c r="G21" s="3" t="s">
        <v>1130</v>
      </c>
      <c r="H21" s="3" t="s">
        <v>1241</v>
      </c>
      <c r="I21" s="3" t="s">
        <v>1399</v>
      </c>
      <c r="J21" s="3" t="s">
        <v>1401</v>
      </c>
      <c r="K21" s="3" t="s">
        <v>1404</v>
      </c>
      <c r="L21" s="3" t="s">
        <v>1405</v>
      </c>
      <c r="M21" s="3" t="s">
        <v>1354</v>
      </c>
    </row>
    <row r="22">
      <c r="A22" s="3" t="s">
        <v>1408</v>
      </c>
      <c r="B22" s="3" t="s">
        <v>1410</v>
      </c>
      <c r="C22" s="3" t="s">
        <v>1412</v>
      </c>
      <c r="D22" s="3" t="s">
        <v>1414</v>
      </c>
      <c r="E22" s="3" t="s">
        <v>1416</v>
      </c>
      <c r="F22" s="3" t="s">
        <v>1418</v>
      </c>
      <c r="G22" s="3" t="s">
        <v>1420</v>
      </c>
      <c r="H22" s="3" t="s">
        <v>1146</v>
      </c>
      <c r="I22" s="3" t="s">
        <v>1423</v>
      </c>
      <c r="J22" s="3" t="s">
        <v>1425</v>
      </c>
      <c r="K22" s="3" t="s">
        <v>1427</v>
      </c>
      <c r="L22" s="3" t="s">
        <v>1429</v>
      </c>
      <c r="M22" s="3" t="s">
        <v>1354</v>
      </c>
    </row>
    <row r="23">
      <c r="A23" s="3" t="s">
        <v>1432</v>
      </c>
      <c r="B23" s="3" t="s">
        <v>1433</v>
      </c>
      <c r="C23" s="3" t="s">
        <v>1184</v>
      </c>
      <c r="D23" s="3" t="s">
        <v>1435</v>
      </c>
      <c r="E23" s="3" t="s">
        <v>1436</v>
      </c>
      <c r="F23" s="3" t="s">
        <v>1437</v>
      </c>
      <c r="G23" s="3" t="s">
        <v>1438</v>
      </c>
      <c r="H23" s="3" t="s">
        <v>1146</v>
      </c>
      <c r="I23" s="3" t="s">
        <v>1439</v>
      </c>
      <c r="J23" s="3" t="s">
        <v>1440</v>
      </c>
      <c r="K23" s="3" t="s">
        <v>1441</v>
      </c>
      <c r="L23" s="3" t="s">
        <v>1442</v>
      </c>
      <c r="M23" s="3" t="s">
        <v>1137</v>
      </c>
    </row>
    <row r="24">
      <c r="A24" s="3" t="s">
        <v>1443</v>
      </c>
      <c r="B24" s="3" t="s">
        <v>1444</v>
      </c>
      <c r="C24" s="3" t="s">
        <v>1445</v>
      </c>
      <c r="D24" s="3" t="s">
        <v>1446</v>
      </c>
      <c r="E24" s="3" t="s">
        <v>1447</v>
      </c>
      <c r="F24" s="3" t="s">
        <v>1449</v>
      </c>
      <c r="G24" s="3" t="s">
        <v>1451</v>
      </c>
      <c r="H24" s="3" t="s">
        <v>1452</v>
      </c>
      <c r="I24" s="3" t="s">
        <v>1454</v>
      </c>
      <c r="J24" s="3" t="s">
        <v>1456</v>
      </c>
      <c r="K24" s="3" t="s">
        <v>1457</v>
      </c>
      <c r="L24" s="3" t="s">
        <v>1458</v>
      </c>
      <c r="M24" s="3" t="s">
        <v>1460</v>
      </c>
    </row>
    <row r="25">
      <c r="A25" s="3" t="s">
        <v>1462</v>
      </c>
      <c r="B25" s="3" t="s">
        <v>1464</v>
      </c>
      <c r="C25" s="3" t="s">
        <v>1466</v>
      </c>
      <c r="D25" s="3" t="s">
        <v>1467</v>
      </c>
      <c r="E25" s="3" t="s">
        <v>1470</v>
      </c>
      <c r="F25" s="3" t="s">
        <v>1473</v>
      </c>
      <c r="G25" s="3" t="s">
        <v>1475</v>
      </c>
      <c r="H25" s="3" t="s">
        <v>1146</v>
      </c>
      <c r="I25" s="3" t="s">
        <v>1480</v>
      </c>
      <c r="J25" s="3" t="s">
        <v>1483</v>
      </c>
      <c r="K25" s="3" t="s">
        <v>1486</v>
      </c>
      <c r="L25" s="3" t="s">
        <v>1490</v>
      </c>
      <c r="M25" s="3" t="s">
        <v>1137</v>
      </c>
    </row>
    <row r="26">
      <c r="A26" s="3" t="s">
        <v>1497</v>
      </c>
      <c r="B26" s="3" t="s">
        <v>1500</v>
      </c>
      <c r="C26" s="3" t="s">
        <v>1503</v>
      </c>
      <c r="D26" s="3" t="s">
        <v>1505</v>
      </c>
      <c r="E26" s="3" t="s">
        <v>1508</v>
      </c>
      <c r="F26" s="3" t="s">
        <v>1511</v>
      </c>
      <c r="G26" s="3" t="s">
        <v>1514</v>
      </c>
      <c r="H26" s="3" t="s">
        <v>1146</v>
      </c>
      <c r="I26" s="3" t="s">
        <v>1518</v>
      </c>
      <c r="J26" s="3" t="s">
        <v>1523</v>
      </c>
      <c r="K26" s="3" t="s">
        <v>1526</v>
      </c>
      <c r="L26" s="3" t="s">
        <v>1528</v>
      </c>
      <c r="M26" s="3" t="s">
        <v>1137</v>
      </c>
    </row>
    <row r="27">
      <c r="A27" s="3" t="s">
        <v>1531</v>
      </c>
      <c r="B27" s="3" t="s">
        <v>1533</v>
      </c>
      <c r="C27" s="3" t="s">
        <v>1535</v>
      </c>
      <c r="D27" s="3" t="s">
        <v>1549</v>
      </c>
      <c r="E27" s="3" t="s">
        <v>1562</v>
      </c>
      <c r="F27" s="3" t="s">
        <v>1566</v>
      </c>
      <c r="G27" s="3" t="s">
        <v>1570</v>
      </c>
      <c r="H27" s="3" t="s">
        <v>1146</v>
      </c>
      <c r="I27" s="3" t="s">
        <v>1575</v>
      </c>
      <c r="J27" s="3" t="s">
        <v>1579</v>
      </c>
      <c r="K27" s="3" t="s">
        <v>1582</v>
      </c>
      <c r="L27" s="3" t="s">
        <v>1585</v>
      </c>
      <c r="M27" s="3" t="s">
        <v>1137</v>
      </c>
    </row>
    <row r="28">
      <c r="A28" s="3" t="s">
        <v>1590</v>
      </c>
      <c r="B28" s="3" t="s">
        <v>417</v>
      </c>
      <c r="C28" s="3" t="s">
        <v>1153</v>
      </c>
      <c r="D28" s="3" t="s">
        <v>1593</v>
      </c>
      <c r="E28" s="3" t="s">
        <v>1595</v>
      </c>
      <c r="F28" s="3" t="s">
        <v>1597</v>
      </c>
      <c r="G28" s="3" t="s">
        <v>1599</v>
      </c>
      <c r="H28" s="3" t="s">
        <v>1601</v>
      </c>
      <c r="I28" s="3" t="s">
        <v>1602</v>
      </c>
      <c r="J28" s="3" t="s">
        <v>1604</v>
      </c>
      <c r="K28" s="3" t="s">
        <v>1606</v>
      </c>
      <c r="L28" s="3" t="s">
        <v>1608</v>
      </c>
      <c r="M28" s="3" t="s">
        <v>1610</v>
      </c>
    </row>
    <row r="29">
      <c r="A29" s="3" t="s">
        <v>1611</v>
      </c>
      <c r="B29" s="3" t="s">
        <v>1613</v>
      </c>
      <c r="C29" s="3" t="s">
        <v>1141</v>
      </c>
      <c r="D29" s="3" t="s">
        <v>1616</v>
      </c>
      <c r="E29" s="3" t="s">
        <v>1618</v>
      </c>
      <c r="F29" s="3" t="s">
        <v>1619</v>
      </c>
      <c r="G29" s="3" t="s">
        <v>1620</v>
      </c>
      <c r="H29" s="3" t="s">
        <v>1146</v>
      </c>
      <c r="I29" s="3" t="s">
        <v>1623</v>
      </c>
      <c r="J29" s="3" t="s">
        <v>1625</v>
      </c>
      <c r="K29" s="3" t="s">
        <v>1627</v>
      </c>
      <c r="L29" s="3" t="s">
        <v>1628</v>
      </c>
      <c r="M29" s="3" t="s">
        <v>1137</v>
      </c>
    </row>
    <row r="30">
      <c r="A30" s="3" t="s">
        <v>1631</v>
      </c>
      <c r="B30" s="3" t="s">
        <v>1633</v>
      </c>
      <c r="C30" s="3" t="s">
        <v>1635</v>
      </c>
      <c r="D30" s="3" t="s">
        <v>1638</v>
      </c>
      <c r="E30" s="3" t="s">
        <v>1640</v>
      </c>
      <c r="F30" s="3" t="s">
        <v>1643</v>
      </c>
      <c r="G30" s="4" t="s">
        <v>1647</v>
      </c>
      <c r="H30" s="3" t="s">
        <v>1650</v>
      </c>
      <c r="I30" s="3" t="s">
        <v>1653</v>
      </c>
      <c r="J30" s="3" t="s">
        <v>1656</v>
      </c>
      <c r="K30" s="3" t="s">
        <v>1658</v>
      </c>
      <c r="L30" s="3" t="s">
        <v>1660</v>
      </c>
      <c r="M30" s="3" t="s">
        <v>1663</v>
      </c>
    </row>
    <row r="31">
      <c r="A31" s="3" t="s">
        <v>1666</v>
      </c>
      <c r="B31" s="3" t="s">
        <v>1669</v>
      </c>
      <c r="C31" s="3" t="s">
        <v>1184</v>
      </c>
      <c r="D31" s="3" t="s">
        <v>1672</v>
      </c>
      <c r="E31" s="3" t="s">
        <v>1675</v>
      </c>
      <c r="F31" s="3" t="s">
        <v>1677</v>
      </c>
      <c r="G31" s="3" t="s">
        <v>1679</v>
      </c>
      <c r="H31" s="3" t="s">
        <v>1146</v>
      </c>
      <c r="I31" s="3" t="s">
        <v>1682</v>
      </c>
      <c r="J31" s="3" t="s">
        <v>1684</v>
      </c>
      <c r="K31" s="3" t="s">
        <v>1687</v>
      </c>
      <c r="L31" s="3" t="s">
        <v>1715</v>
      </c>
      <c r="M31" s="3" t="s">
        <v>1718</v>
      </c>
    </row>
    <row r="32">
      <c r="A32" s="3" t="s">
        <v>1721</v>
      </c>
      <c r="B32" s="3" t="s">
        <v>1723</v>
      </c>
      <c r="C32" s="3" t="s">
        <v>1126</v>
      </c>
      <c r="D32" s="3" t="s">
        <v>1726</v>
      </c>
      <c r="E32" s="3" t="s">
        <v>1727</v>
      </c>
      <c r="F32" s="3" t="s">
        <v>1130</v>
      </c>
      <c r="G32" s="3" t="s">
        <v>1130</v>
      </c>
      <c r="H32" s="3" t="s">
        <v>1241</v>
      </c>
      <c r="I32" s="3" t="s">
        <v>1732</v>
      </c>
      <c r="J32" s="3" t="s">
        <v>1734</v>
      </c>
      <c r="K32" s="3" t="s">
        <v>1736</v>
      </c>
      <c r="L32" s="3" t="s">
        <v>1738</v>
      </c>
      <c r="M32" s="3" t="s">
        <v>1718</v>
      </c>
    </row>
    <row r="33">
      <c r="A33" s="3" t="s">
        <v>1741</v>
      </c>
      <c r="B33" s="3" t="s">
        <v>1743</v>
      </c>
      <c r="C33" s="3" t="s">
        <v>1745</v>
      </c>
      <c r="D33" s="3" t="s">
        <v>1747</v>
      </c>
      <c r="E33" s="3" t="s">
        <v>1750</v>
      </c>
      <c r="F33" s="3" t="s">
        <v>1752</v>
      </c>
      <c r="G33" s="3" t="s">
        <v>1754</v>
      </c>
      <c r="H33" s="3" t="s">
        <v>1146</v>
      </c>
      <c r="I33" s="3" t="s">
        <v>1757</v>
      </c>
      <c r="J33" s="3" t="s">
        <v>1759</v>
      </c>
      <c r="K33" s="3" t="s">
        <v>1761</v>
      </c>
      <c r="L33" s="3" t="s">
        <v>1764</v>
      </c>
      <c r="M33" s="3" t="s">
        <v>1718</v>
      </c>
    </row>
    <row r="34">
      <c r="A34" s="3" t="s">
        <v>1767</v>
      </c>
      <c r="B34" s="3" t="s">
        <v>1770</v>
      </c>
      <c r="C34" s="3" t="s">
        <v>1360</v>
      </c>
      <c r="D34" s="3" t="s">
        <v>1775</v>
      </c>
      <c r="E34" s="3" t="s">
        <v>1779</v>
      </c>
      <c r="F34" s="3" t="s">
        <v>1781</v>
      </c>
      <c r="G34" s="3" t="s">
        <v>1782</v>
      </c>
      <c r="H34" s="3" t="s">
        <v>1146</v>
      </c>
      <c r="I34" s="3" t="s">
        <v>1786</v>
      </c>
      <c r="J34" s="3" t="s">
        <v>1791</v>
      </c>
      <c r="K34" s="3" t="s">
        <v>1794</v>
      </c>
      <c r="L34" s="3" t="s">
        <v>1797</v>
      </c>
      <c r="M34" s="3" t="s">
        <v>1718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2.75"/>
    <col customWidth="1" min="3" max="3" width="12.25"/>
    <col customWidth="1" min="4" max="4" width="12.75"/>
    <col customWidth="1" min="5" max="10" width="13.0"/>
    <col customWidth="1" min="11" max="11" width="12.63"/>
    <col customWidth="1" min="12" max="12" width="13.0"/>
  </cols>
  <sheetData>
    <row r="1">
      <c r="A1" s="2" t="s">
        <v>1200</v>
      </c>
      <c r="B1" s="2" t="s">
        <v>1205</v>
      </c>
      <c r="C1" s="2" t="s">
        <v>1209</v>
      </c>
      <c r="D1" s="2" t="s">
        <v>1212</v>
      </c>
      <c r="E1" s="2" t="s">
        <v>1215</v>
      </c>
      <c r="F1" s="2" t="s">
        <v>1217</v>
      </c>
      <c r="G1" s="2" t="s">
        <v>1220</v>
      </c>
      <c r="H1" s="2" t="s">
        <v>1224</v>
      </c>
      <c r="I1" s="2" t="s">
        <v>1226</v>
      </c>
      <c r="J1" s="2" t="s">
        <v>1227</v>
      </c>
      <c r="K1" s="2" t="s">
        <v>1229</v>
      </c>
      <c r="L1" s="2" t="s">
        <v>1121</v>
      </c>
    </row>
    <row r="2">
      <c r="A2" s="3" t="s">
        <v>1233</v>
      </c>
      <c r="B2" s="3" t="s">
        <v>1235</v>
      </c>
      <c r="C2" s="3" t="s">
        <v>188</v>
      </c>
      <c r="D2" s="3" t="s">
        <v>1239</v>
      </c>
      <c r="E2" s="3" t="s">
        <v>1240</v>
      </c>
      <c r="F2" s="3" t="s">
        <v>1242</v>
      </c>
      <c r="G2" s="3" t="s">
        <v>1244</v>
      </c>
      <c r="H2" s="3" t="s">
        <v>1246</v>
      </c>
      <c r="I2" s="3" t="s">
        <v>1249</v>
      </c>
      <c r="J2" s="3" t="s">
        <v>1251</v>
      </c>
      <c r="K2" s="40" t="s">
        <v>609</v>
      </c>
      <c r="L2" s="3" t="s">
        <v>1298</v>
      </c>
    </row>
    <row r="3">
      <c r="A3" s="3" t="s">
        <v>1299</v>
      </c>
      <c r="B3" s="3" t="s">
        <v>1300</v>
      </c>
      <c r="C3" s="3" t="s">
        <v>1302</v>
      </c>
      <c r="D3" s="3" t="s">
        <v>1305</v>
      </c>
      <c r="E3" s="3" t="s">
        <v>1306</v>
      </c>
      <c r="F3" s="3" t="s">
        <v>1307</v>
      </c>
      <c r="G3" s="3" t="s">
        <v>1309</v>
      </c>
      <c r="H3" s="3" t="s">
        <v>1311</v>
      </c>
      <c r="I3" s="3" t="s">
        <v>1313</v>
      </c>
      <c r="J3" s="3" t="s">
        <v>1315</v>
      </c>
      <c r="K3" s="40" t="s">
        <v>533</v>
      </c>
      <c r="L3" s="3" t="s">
        <v>1353</v>
      </c>
    </row>
    <row r="4">
      <c r="A4" s="3" t="s">
        <v>1355</v>
      </c>
      <c r="B4" s="3" t="s">
        <v>1357</v>
      </c>
      <c r="C4" s="3" t="s">
        <v>1359</v>
      </c>
      <c r="D4" s="3" t="s">
        <v>1361</v>
      </c>
      <c r="E4" s="3" t="s">
        <v>1363</v>
      </c>
      <c r="F4" s="3" t="s">
        <v>1366</v>
      </c>
      <c r="G4" s="3" t="s">
        <v>1368</v>
      </c>
      <c r="H4" s="3" t="s">
        <v>1369</v>
      </c>
      <c r="I4" s="3" t="s">
        <v>1371</v>
      </c>
      <c r="J4" s="3" t="s">
        <v>1373</v>
      </c>
      <c r="K4" s="40" t="s">
        <v>609</v>
      </c>
      <c r="L4" s="3" t="s">
        <v>1377</v>
      </c>
    </row>
    <row r="5">
      <c r="A5" s="3" t="s">
        <v>1379</v>
      </c>
      <c r="B5" s="3" t="s">
        <v>1380</v>
      </c>
      <c r="C5" s="3" t="s">
        <v>1382</v>
      </c>
      <c r="D5" s="3" t="s">
        <v>1384</v>
      </c>
      <c r="E5" s="3" t="s">
        <v>632</v>
      </c>
      <c r="F5" s="3" t="s">
        <v>1387</v>
      </c>
      <c r="G5" s="3" t="s">
        <v>1389</v>
      </c>
      <c r="H5" s="3" t="s">
        <v>1397</v>
      </c>
      <c r="I5" s="3" t="s">
        <v>1398</v>
      </c>
      <c r="J5" s="3" t="s">
        <v>1400</v>
      </c>
      <c r="K5" s="40" t="s">
        <v>1402</v>
      </c>
      <c r="L5" s="3" t="s">
        <v>1465</v>
      </c>
    </row>
    <row r="6">
      <c r="A6" s="3" t="s">
        <v>1469</v>
      </c>
      <c r="B6" s="3" t="s">
        <v>1472</v>
      </c>
      <c r="C6" s="3" t="s">
        <v>1382</v>
      </c>
      <c r="D6" s="3" t="s">
        <v>1476</v>
      </c>
      <c r="E6" s="3" t="s">
        <v>1478</v>
      </c>
      <c r="F6" s="3" t="s">
        <v>1482</v>
      </c>
      <c r="G6" s="3" t="s">
        <v>1484</v>
      </c>
      <c r="H6" s="3" t="s">
        <v>1488</v>
      </c>
      <c r="I6" s="3" t="s">
        <v>1493</v>
      </c>
      <c r="J6" s="3" t="s">
        <v>1495</v>
      </c>
      <c r="K6" s="40" t="s">
        <v>668</v>
      </c>
      <c r="L6" s="3" t="s">
        <v>1465</v>
      </c>
    </row>
    <row r="7">
      <c r="A7" s="3" t="s">
        <v>1540</v>
      </c>
      <c r="B7" s="3" t="s">
        <v>1542</v>
      </c>
      <c r="C7" s="3" t="s">
        <v>1382</v>
      </c>
      <c r="D7" s="3" t="s">
        <v>1546</v>
      </c>
      <c r="E7" s="3" t="s">
        <v>1551</v>
      </c>
      <c r="F7" s="3" t="s">
        <v>1554</v>
      </c>
      <c r="G7" s="3" t="s">
        <v>1559</v>
      </c>
      <c r="H7" s="3" t="s">
        <v>1565</v>
      </c>
      <c r="I7" s="3" t="s">
        <v>1568</v>
      </c>
      <c r="J7" s="3" t="s">
        <v>1572</v>
      </c>
      <c r="K7" s="40" t="s">
        <v>1578</v>
      </c>
      <c r="L7" s="3" t="s">
        <v>1465</v>
      </c>
    </row>
    <row r="8">
      <c r="A8" s="3" t="s">
        <v>1665</v>
      </c>
      <c r="B8" s="3" t="s">
        <v>1668</v>
      </c>
      <c r="C8" s="3" t="s">
        <v>1382</v>
      </c>
      <c r="D8" s="3" t="s">
        <v>1678</v>
      </c>
      <c r="E8" s="3" t="s">
        <v>1681</v>
      </c>
      <c r="F8" s="3" t="s">
        <v>1683</v>
      </c>
      <c r="G8" s="3" t="s">
        <v>1688</v>
      </c>
      <c r="H8" s="3" t="s">
        <v>1690</v>
      </c>
      <c r="I8" s="3" t="s">
        <v>1696</v>
      </c>
      <c r="J8" s="3" t="s">
        <v>1699</v>
      </c>
      <c r="K8" s="40" t="s">
        <v>959</v>
      </c>
      <c r="L8" s="3" t="s">
        <v>1465</v>
      </c>
    </row>
    <row r="9">
      <c r="A9" s="3" t="s">
        <v>1784</v>
      </c>
      <c r="B9" s="3" t="s">
        <v>1788</v>
      </c>
      <c r="C9" s="3" t="s">
        <v>1359</v>
      </c>
      <c r="D9" s="3" t="s">
        <v>1795</v>
      </c>
      <c r="E9" s="3" t="s">
        <v>1798</v>
      </c>
      <c r="F9" s="3" t="s">
        <v>1800</v>
      </c>
      <c r="G9" s="3" t="s">
        <v>1803</v>
      </c>
      <c r="H9" s="3" t="s">
        <v>1805</v>
      </c>
      <c r="I9" s="3" t="s">
        <v>1808</v>
      </c>
      <c r="J9" s="3" t="s">
        <v>1810</v>
      </c>
      <c r="K9" s="40" t="s">
        <v>641</v>
      </c>
      <c r="L9" s="3" t="s">
        <v>1874</v>
      </c>
    </row>
    <row r="10">
      <c r="A10" s="3" t="s">
        <v>1877</v>
      </c>
      <c r="B10" s="3" t="s">
        <v>1880</v>
      </c>
      <c r="C10" s="3" t="s">
        <v>1382</v>
      </c>
      <c r="D10" s="3" t="s">
        <v>1886</v>
      </c>
      <c r="E10" s="3" t="s">
        <v>817</v>
      </c>
      <c r="F10" s="3" t="s">
        <v>1890</v>
      </c>
      <c r="G10" s="3" t="s">
        <v>1892</v>
      </c>
      <c r="H10" s="3" t="s">
        <v>1895</v>
      </c>
      <c r="I10" s="3" t="s">
        <v>1897</v>
      </c>
      <c r="J10" s="3" t="s">
        <v>1899</v>
      </c>
      <c r="K10" s="40" t="s">
        <v>641</v>
      </c>
      <c r="L10" s="3" t="s">
        <v>1874</v>
      </c>
    </row>
    <row r="11">
      <c r="A11" s="3" t="s">
        <v>1905</v>
      </c>
      <c r="B11" s="3" t="s">
        <v>1907</v>
      </c>
      <c r="C11" s="3" t="s">
        <v>1382</v>
      </c>
      <c r="D11" s="3" t="s">
        <v>1909</v>
      </c>
      <c r="E11" s="3" t="s">
        <v>1911</v>
      </c>
      <c r="F11" s="3" t="s">
        <v>1913</v>
      </c>
      <c r="G11" s="3" t="s">
        <v>1915</v>
      </c>
      <c r="H11" s="3" t="s">
        <v>1918</v>
      </c>
      <c r="I11" s="3" t="s">
        <v>1920</v>
      </c>
      <c r="J11" s="3" t="s">
        <v>1921</v>
      </c>
      <c r="K11" s="40" t="s">
        <v>641</v>
      </c>
      <c r="L11" s="3" t="s">
        <v>1874</v>
      </c>
    </row>
    <row r="12">
      <c r="A12" s="3" t="s">
        <v>1926</v>
      </c>
      <c r="B12" s="3" t="s">
        <v>1928</v>
      </c>
      <c r="C12" s="3" t="s">
        <v>1382</v>
      </c>
      <c r="D12" s="3" t="s">
        <v>1931</v>
      </c>
      <c r="E12" s="3" t="s">
        <v>788</v>
      </c>
      <c r="F12" s="3" t="s">
        <v>1935</v>
      </c>
      <c r="G12" s="3" t="s">
        <v>1938</v>
      </c>
      <c r="H12" s="3" t="s">
        <v>1942</v>
      </c>
      <c r="I12" s="3" t="s">
        <v>1944</v>
      </c>
      <c r="J12" s="3" t="s">
        <v>1948</v>
      </c>
      <c r="K12" s="40" t="s">
        <v>641</v>
      </c>
      <c r="L12" s="3" t="s">
        <v>1874</v>
      </c>
    </row>
    <row r="13">
      <c r="A13" s="3" t="s">
        <v>1958</v>
      </c>
      <c r="B13" s="3" t="s">
        <v>654</v>
      </c>
      <c r="C13" s="3" t="s">
        <v>1382</v>
      </c>
      <c r="D13" s="3" t="s">
        <v>1965</v>
      </c>
      <c r="E13" s="3" t="s">
        <v>1968</v>
      </c>
      <c r="F13" s="3" t="s">
        <v>1971</v>
      </c>
      <c r="G13" s="3" t="s">
        <v>1975</v>
      </c>
      <c r="H13" s="3" t="s">
        <v>1979</v>
      </c>
      <c r="I13" s="3" t="s">
        <v>1981</v>
      </c>
      <c r="J13" s="3" t="s">
        <v>1984</v>
      </c>
      <c r="K13" s="40" t="s">
        <v>641</v>
      </c>
      <c r="L13" s="3" t="s">
        <v>1874</v>
      </c>
    </row>
    <row r="14">
      <c r="A14" s="3" t="s">
        <v>1992</v>
      </c>
      <c r="B14" s="3" t="s">
        <v>1994</v>
      </c>
      <c r="C14" s="3" t="s">
        <v>1382</v>
      </c>
      <c r="D14" s="3" t="s">
        <v>1998</v>
      </c>
      <c r="E14" s="3" t="s">
        <v>2000</v>
      </c>
      <c r="F14" s="3" t="s">
        <v>2005</v>
      </c>
      <c r="G14" s="3" t="s">
        <v>2008</v>
      </c>
      <c r="H14" s="3" t="s">
        <v>2014</v>
      </c>
      <c r="I14" s="3" t="s">
        <v>2017</v>
      </c>
      <c r="J14" s="3" t="s">
        <v>2019</v>
      </c>
      <c r="K14" s="40" t="s">
        <v>641</v>
      </c>
      <c r="L14" s="3" t="s">
        <v>1874</v>
      </c>
    </row>
    <row r="15">
      <c r="A15" s="3" t="s">
        <v>2026</v>
      </c>
      <c r="B15" s="3" t="s">
        <v>2027</v>
      </c>
      <c r="C15" s="3" t="s">
        <v>1382</v>
      </c>
      <c r="D15" s="3" t="s">
        <v>2030</v>
      </c>
      <c r="E15" s="3" t="s">
        <v>1478</v>
      </c>
      <c r="F15" s="3" t="s">
        <v>2034</v>
      </c>
      <c r="G15" s="3" t="s">
        <v>2036</v>
      </c>
      <c r="H15" s="3" t="s">
        <v>2038</v>
      </c>
      <c r="I15" s="3" t="s">
        <v>2040</v>
      </c>
      <c r="J15" s="3" t="s">
        <v>2042</v>
      </c>
      <c r="K15" s="40" t="s">
        <v>959</v>
      </c>
      <c r="L15" s="3" t="s">
        <v>1465</v>
      </c>
    </row>
    <row r="16">
      <c r="A16" s="3" t="s">
        <v>2055</v>
      </c>
      <c r="B16" s="3" t="s">
        <v>2058</v>
      </c>
      <c r="C16" s="3" t="s">
        <v>1382</v>
      </c>
      <c r="D16" s="3" t="s">
        <v>2066</v>
      </c>
      <c r="E16" s="3" t="s">
        <v>1478</v>
      </c>
      <c r="F16" s="3" t="s">
        <v>2072</v>
      </c>
      <c r="G16" s="3" t="s">
        <v>2075</v>
      </c>
      <c r="H16" s="3" t="s">
        <v>2078</v>
      </c>
      <c r="I16" s="3" t="s">
        <v>2082</v>
      </c>
      <c r="J16" s="3" t="s">
        <v>2085</v>
      </c>
      <c r="K16" s="40" t="s">
        <v>809</v>
      </c>
      <c r="L16" s="3" t="s">
        <v>1465</v>
      </c>
    </row>
    <row r="17">
      <c r="A17" s="3" t="s">
        <v>2174</v>
      </c>
      <c r="B17" s="3" t="s">
        <v>2175</v>
      </c>
      <c r="C17" s="3" t="s">
        <v>1382</v>
      </c>
      <c r="D17" s="3" t="s">
        <v>2180</v>
      </c>
      <c r="E17" s="3" t="s">
        <v>1478</v>
      </c>
      <c r="F17" s="3" t="s">
        <v>2182</v>
      </c>
      <c r="G17" s="3" t="s">
        <v>2184</v>
      </c>
      <c r="H17" s="3" t="s">
        <v>2186</v>
      </c>
      <c r="I17" s="3" t="s">
        <v>2189</v>
      </c>
      <c r="J17" s="3" t="s">
        <v>2191</v>
      </c>
      <c r="K17" s="40" t="s">
        <v>668</v>
      </c>
      <c r="L17" s="3" t="s">
        <v>1465</v>
      </c>
    </row>
    <row r="18">
      <c r="A18" s="3" t="s">
        <v>2200</v>
      </c>
      <c r="B18" s="3" t="s">
        <v>2205</v>
      </c>
      <c r="C18" s="3" t="s">
        <v>1382</v>
      </c>
      <c r="D18" s="3" t="s">
        <v>2210</v>
      </c>
      <c r="E18" s="3" t="s">
        <v>2212</v>
      </c>
      <c r="F18" s="3" t="s">
        <v>2213</v>
      </c>
      <c r="G18" s="3" t="s">
        <v>2214</v>
      </c>
      <c r="H18" s="3" t="s">
        <v>2215</v>
      </c>
      <c r="I18" s="3" t="s">
        <v>2216</v>
      </c>
      <c r="J18" s="3" t="s">
        <v>2217</v>
      </c>
      <c r="K18" s="40" t="s">
        <v>2218</v>
      </c>
      <c r="L18" s="3" t="s">
        <v>1465</v>
      </c>
    </row>
    <row r="19">
      <c r="A19" s="3" t="s">
        <v>2242</v>
      </c>
      <c r="B19" s="3" t="s">
        <v>2243</v>
      </c>
      <c r="C19" s="3" t="s">
        <v>328</v>
      </c>
      <c r="D19" s="3" t="s">
        <v>2244</v>
      </c>
      <c r="E19" s="3" t="s">
        <v>2245</v>
      </c>
      <c r="F19" s="3" t="s">
        <v>2246</v>
      </c>
      <c r="G19" s="3" t="s">
        <v>2247</v>
      </c>
      <c r="H19" s="3" t="s">
        <v>2248</v>
      </c>
      <c r="I19" s="3" t="s">
        <v>2249</v>
      </c>
      <c r="J19" s="3" t="s">
        <v>2250</v>
      </c>
      <c r="K19" s="40" t="s">
        <v>668</v>
      </c>
      <c r="L19" s="3" t="s">
        <v>2252</v>
      </c>
    </row>
    <row r="20">
      <c r="A20" s="3" t="s">
        <v>2253</v>
      </c>
      <c r="B20" s="3" t="s">
        <v>2256</v>
      </c>
      <c r="C20" s="3" t="s">
        <v>328</v>
      </c>
      <c r="D20" s="3" t="s">
        <v>2261</v>
      </c>
      <c r="E20" s="3" t="s">
        <v>2263</v>
      </c>
      <c r="F20" s="3" t="s">
        <v>2266</v>
      </c>
      <c r="G20" s="3" t="s">
        <v>2267</v>
      </c>
      <c r="H20" s="3" t="s">
        <v>2271</v>
      </c>
      <c r="I20" s="3" t="s">
        <v>2273</v>
      </c>
      <c r="J20" s="3" t="s">
        <v>2276</v>
      </c>
      <c r="K20" s="40" t="s">
        <v>676</v>
      </c>
      <c r="L20" s="3" t="s">
        <v>2332</v>
      </c>
    </row>
    <row r="21">
      <c r="A21" s="3" t="s">
        <v>2333</v>
      </c>
      <c r="B21" s="3" t="s">
        <v>2335</v>
      </c>
      <c r="C21" s="3" t="s">
        <v>328</v>
      </c>
      <c r="D21" s="3" t="s">
        <v>2338</v>
      </c>
      <c r="E21" s="3" t="s">
        <v>2339</v>
      </c>
      <c r="F21" s="3" t="s">
        <v>2341</v>
      </c>
      <c r="G21" s="3" t="s">
        <v>2343</v>
      </c>
      <c r="H21" s="3" t="s">
        <v>2344</v>
      </c>
      <c r="I21" s="3" t="s">
        <v>2346</v>
      </c>
      <c r="J21" s="3" t="s">
        <v>2348</v>
      </c>
      <c r="K21" s="40" t="s">
        <v>676</v>
      </c>
      <c r="L21" s="3" t="s">
        <v>1128</v>
      </c>
    </row>
    <row r="22">
      <c r="A22" s="3" t="s">
        <v>2350</v>
      </c>
      <c r="B22" s="3" t="s">
        <v>2352</v>
      </c>
      <c r="C22" s="3" t="s">
        <v>333</v>
      </c>
      <c r="D22" s="3" t="s">
        <v>2354</v>
      </c>
      <c r="E22" s="3" t="s">
        <v>2356</v>
      </c>
      <c r="F22" s="3" t="s">
        <v>2358</v>
      </c>
      <c r="G22" s="3" t="s">
        <v>2361</v>
      </c>
      <c r="H22" s="3" t="s">
        <v>2366</v>
      </c>
      <c r="I22" s="3" t="s">
        <v>2369</v>
      </c>
      <c r="J22" s="3" t="s">
        <v>2373</v>
      </c>
      <c r="K22" s="40" t="s">
        <v>676</v>
      </c>
      <c r="L22" s="3" t="s">
        <v>2378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</hyperlinks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18" width="20.75"/>
  </cols>
  <sheetData>
    <row r="1">
      <c r="A1" s="41" t="s">
        <v>495</v>
      </c>
      <c r="B1" s="41" t="s">
        <v>7</v>
      </c>
      <c r="C1" s="41" t="s">
        <v>9</v>
      </c>
      <c r="D1" s="41" t="s">
        <v>498</v>
      </c>
      <c r="E1" s="41" t="s">
        <v>499</v>
      </c>
      <c r="F1" s="41" t="s">
        <v>500</v>
      </c>
      <c r="G1" s="41" t="s">
        <v>501</v>
      </c>
      <c r="H1" s="41" t="s">
        <v>404</v>
      </c>
      <c r="I1" s="41" t="s">
        <v>503</v>
      </c>
      <c r="J1" s="41" t="s">
        <v>505</v>
      </c>
      <c r="K1" s="41" t="s">
        <v>407</v>
      </c>
      <c r="L1" s="41" t="s">
        <v>410</v>
      </c>
      <c r="M1" s="41" t="s">
        <v>507</v>
      </c>
      <c r="N1" s="41" t="s">
        <v>508</v>
      </c>
      <c r="O1" s="41" t="s">
        <v>509</v>
      </c>
      <c r="P1" s="41" t="s">
        <v>34</v>
      </c>
      <c r="Q1" s="41" t="s">
        <v>37</v>
      </c>
      <c r="R1" s="41" t="s">
        <v>29</v>
      </c>
    </row>
    <row r="2">
      <c r="A2" s="3" t="s">
        <v>1403</v>
      </c>
      <c r="B2" s="3" t="s">
        <v>1406</v>
      </c>
      <c r="C2" s="3" t="s">
        <v>1407</v>
      </c>
      <c r="D2" s="3" t="s">
        <v>1409</v>
      </c>
      <c r="E2" s="3" t="s">
        <v>1411</v>
      </c>
      <c r="F2" s="3" t="s">
        <v>1413</v>
      </c>
      <c r="G2" s="3" t="s">
        <v>1415</v>
      </c>
      <c r="H2" s="3" t="s">
        <v>1417</v>
      </c>
      <c r="I2" s="3" t="s">
        <v>1419</v>
      </c>
      <c r="J2" s="3" t="s">
        <v>1421</v>
      </c>
      <c r="K2" s="3" t="s">
        <v>1422</v>
      </c>
      <c r="L2" s="3" t="s">
        <v>1424</v>
      </c>
      <c r="M2" s="3" t="s">
        <v>1426</v>
      </c>
      <c r="N2" s="3" t="s">
        <v>1428</v>
      </c>
      <c r="O2" s="3" t="s">
        <v>1430</v>
      </c>
      <c r="P2" s="3" t="s">
        <v>1431</v>
      </c>
      <c r="Q2" s="40" t="s">
        <v>1434</v>
      </c>
      <c r="R2" s="3" t="s">
        <v>64</v>
      </c>
    </row>
    <row r="3">
      <c r="A3" s="3" t="s">
        <v>1489</v>
      </c>
      <c r="B3" s="3" t="s">
        <v>1492</v>
      </c>
      <c r="C3" s="3" t="s">
        <v>1407</v>
      </c>
      <c r="D3" s="3" t="s">
        <v>1496</v>
      </c>
      <c r="E3" s="3" t="s">
        <v>1499</v>
      </c>
      <c r="F3" s="3" t="s">
        <v>1501</v>
      </c>
      <c r="G3" s="3" t="s">
        <v>1504</v>
      </c>
      <c r="H3" s="3" t="s">
        <v>1507</v>
      </c>
      <c r="I3" s="3" t="s">
        <v>1509</v>
      </c>
      <c r="J3" s="3" t="s">
        <v>1512</v>
      </c>
      <c r="K3" s="3" t="s">
        <v>524</v>
      </c>
      <c r="L3" s="3" t="s">
        <v>59</v>
      </c>
      <c r="M3" s="3" t="s">
        <v>1516</v>
      </c>
      <c r="N3" s="3" t="s">
        <v>1517</v>
      </c>
      <c r="O3" s="3" t="s">
        <v>1520</v>
      </c>
      <c r="P3" s="3" t="s">
        <v>1522</v>
      </c>
      <c r="Q3" s="40" t="s">
        <v>1525</v>
      </c>
      <c r="R3" s="3" t="s">
        <v>64</v>
      </c>
    </row>
    <row r="4">
      <c r="A4" s="3" t="s">
        <v>1538</v>
      </c>
      <c r="B4" s="3" t="s">
        <v>1406</v>
      </c>
      <c r="C4" s="3" t="s">
        <v>1407</v>
      </c>
      <c r="D4" s="3" t="s">
        <v>1547</v>
      </c>
      <c r="E4" s="3" t="s">
        <v>1552</v>
      </c>
      <c r="F4" s="3" t="s">
        <v>1555</v>
      </c>
      <c r="G4" s="3" t="s">
        <v>1558</v>
      </c>
      <c r="H4" s="3" t="s">
        <v>1561</v>
      </c>
      <c r="I4" s="3" t="s">
        <v>1564</v>
      </c>
      <c r="J4" s="3" t="s">
        <v>587</v>
      </c>
      <c r="K4" s="3" t="s">
        <v>524</v>
      </c>
      <c r="L4" s="3" t="s">
        <v>59</v>
      </c>
      <c r="M4" s="3" t="s">
        <v>1573</v>
      </c>
      <c r="N4" s="3" t="s">
        <v>1576</v>
      </c>
      <c r="O4" s="3" t="s">
        <v>1580</v>
      </c>
      <c r="P4" s="3" t="s">
        <v>1583</v>
      </c>
      <c r="Q4" s="40" t="s">
        <v>725</v>
      </c>
      <c r="R4" s="3" t="s">
        <v>64</v>
      </c>
    </row>
    <row r="5">
      <c r="A5" s="3" t="s">
        <v>1636</v>
      </c>
      <c r="B5" s="3" t="s">
        <v>74</v>
      </c>
      <c r="C5" s="3" t="s">
        <v>1642</v>
      </c>
      <c r="D5" s="3" t="s">
        <v>1644</v>
      </c>
      <c r="E5" s="3" t="s">
        <v>1646</v>
      </c>
      <c r="F5" s="3" t="s">
        <v>1649</v>
      </c>
      <c r="G5" s="3" t="s">
        <v>1652</v>
      </c>
      <c r="H5" s="3" t="s">
        <v>1655</v>
      </c>
      <c r="I5" s="3" t="s">
        <v>1657</v>
      </c>
      <c r="J5" s="3" t="s">
        <v>1662</v>
      </c>
      <c r="K5" s="3" t="s">
        <v>1422</v>
      </c>
      <c r="L5" s="3" t="s">
        <v>59</v>
      </c>
      <c r="M5" s="3" t="s">
        <v>1670</v>
      </c>
      <c r="N5" s="3" t="s">
        <v>1671</v>
      </c>
      <c r="O5" s="3" t="s">
        <v>1673</v>
      </c>
      <c r="P5" s="3" t="s">
        <v>307</v>
      </c>
      <c r="Q5" s="40" t="s">
        <v>1434</v>
      </c>
      <c r="R5" s="3" t="s">
        <v>64</v>
      </c>
    </row>
    <row r="6">
      <c r="A6" s="3" t="s">
        <v>1685</v>
      </c>
      <c r="B6" s="3" t="s">
        <v>1704</v>
      </c>
      <c r="C6" s="3" t="s">
        <v>1706</v>
      </c>
      <c r="D6" s="3" t="s">
        <v>1707</v>
      </c>
      <c r="E6" s="3" t="s">
        <v>1709</v>
      </c>
      <c r="F6" s="3" t="s">
        <v>1711</v>
      </c>
      <c r="G6" s="3" t="s">
        <v>1713</v>
      </c>
      <c r="H6" s="3" t="s">
        <v>1717</v>
      </c>
      <c r="I6" s="3" t="s">
        <v>1719</v>
      </c>
      <c r="J6" s="3" t="s">
        <v>1739</v>
      </c>
      <c r="K6" s="3" t="s">
        <v>1422</v>
      </c>
      <c r="L6" s="3" t="s">
        <v>59</v>
      </c>
      <c r="M6" s="3" t="s">
        <v>1748</v>
      </c>
      <c r="N6" s="3" t="s">
        <v>1751</v>
      </c>
      <c r="O6" s="3" t="s">
        <v>1755</v>
      </c>
      <c r="P6" s="3" t="s">
        <v>1758</v>
      </c>
      <c r="Q6" s="40" t="s">
        <v>725</v>
      </c>
      <c r="R6" s="3" t="s">
        <v>64</v>
      </c>
    </row>
    <row r="7">
      <c r="A7" s="3" t="s">
        <v>1762</v>
      </c>
      <c r="B7" s="3" t="s">
        <v>1704</v>
      </c>
      <c r="C7" s="3" t="s">
        <v>1706</v>
      </c>
      <c r="D7" s="3" t="s">
        <v>1766</v>
      </c>
      <c r="E7" s="3" t="s">
        <v>1769</v>
      </c>
      <c r="F7" s="3" t="s">
        <v>1771</v>
      </c>
      <c r="G7" s="3" t="s">
        <v>1772</v>
      </c>
      <c r="H7" s="3" t="s">
        <v>1774</v>
      </c>
      <c r="I7" s="3" t="s">
        <v>1777</v>
      </c>
      <c r="J7" s="3" t="s">
        <v>925</v>
      </c>
      <c r="K7" s="3" t="s">
        <v>1422</v>
      </c>
      <c r="L7" s="3" t="s">
        <v>59</v>
      </c>
      <c r="M7" s="3" t="s">
        <v>1783</v>
      </c>
      <c r="N7" s="3" t="s">
        <v>1785</v>
      </c>
      <c r="O7" s="3" t="s">
        <v>1789</v>
      </c>
      <c r="P7" s="3" t="s">
        <v>1792</v>
      </c>
      <c r="Q7" s="40" t="s">
        <v>668</v>
      </c>
      <c r="R7" s="3" t="s">
        <v>64</v>
      </c>
    </row>
    <row r="8">
      <c r="A8" s="3" t="s">
        <v>1834</v>
      </c>
      <c r="B8" s="3" t="s">
        <v>1836</v>
      </c>
      <c r="C8" s="3" t="s">
        <v>1838</v>
      </c>
      <c r="D8" s="3" t="s">
        <v>1839</v>
      </c>
      <c r="E8" s="3" t="s">
        <v>1841</v>
      </c>
      <c r="F8" s="3" t="s">
        <v>1843</v>
      </c>
      <c r="G8" s="3" t="s">
        <v>1845</v>
      </c>
      <c r="H8" s="3" t="s">
        <v>1847</v>
      </c>
      <c r="I8" s="3" t="s">
        <v>1848</v>
      </c>
      <c r="J8" s="3" t="s">
        <v>1421</v>
      </c>
      <c r="K8" s="3" t="s">
        <v>1037</v>
      </c>
      <c r="L8" s="3" t="s">
        <v>59</v>
      </c>
      <c r="M8" s="3" t="s">
        <v>1853</v>
      </c>
      <c r="N8" s="3" t="s">
        <v>1854</v>
      </c>
      <c r="O8" s="3" t="s">
        <v>1856</v>
      </c>
      <c r="P8" s="3" t="s">
        <v>307</v>
      </c>
      <c r="Q8" s="40" t="s">
        <v>1434</v>
      </c>
      <c r="R8" s="3" t="s">
        <v>64</v>
      </c>
    </row>
    <row r="9">
      <c r="A9" s="3" t="s">
        <v>1860</v>
      </c>
      <c r="B9" s="3" t="s">
        <v>1836</v>
      </c>
      <c r="C9" s="3" t="s">
        <v>1838</v>
      </c>
      <c r="D9" s="3" t="s">
        <v>1862</v>
      </c>
      <c r="E9" s="3" t="s">
        <v>1864</v>
      </c>
      <c r="F9" s="3" t="s">
        <v>1866</v>
      </c>
      <c r="G9" s="3" t="s">
        <v>1867</v>
      </c>
      <c r="H9" s="3" t="s">
        <v>1847</v>
      </c>
      <c r="I9" s="3" t="s">
        <v>1870</v>
      </c>
      <c r="J9" s="3" t="s">
        <v>1872</v>
      </c>
      <c r="K9" s="3" t="s">
        <v>524</v>
      </c>
      <c r="L9" s="3" t="s">
        <v>59</v>
      </c>
      <c r="M9" s="3" t="s">
        <v>1879</v>
      </c>
      <c r="N9" s="3" t="s">
        <v>1881</v>
      </c>
      <c r="O9" s="3" t="s">
        <v>1883</v>
      </c>
      <c r="P9" s="3" t="s">
        <v>1885</v>
      </c>
      <c r="Q9" s="40" t="s">
        <v>1888</v>
      </c>
      <c r="R9" s="3" t="s">
        <v>64</v>
      </c>
    </row>
    <row r="10">
      <c r="A10" s="3" t="s">
        <v>1933</v>
      </c>
      <c r="B10" s="3" t="s">
        <v>74</v>
      </c>
      <c r="C10" s="3" t="s">
        <v>1937</v>
      </c>
      <c r="D10" s="3" t="s">
        <v>1939</v>
      </c>
      <c r="E10" s="3" t="s">
        <v>1941</v>
      </c>
      <c r="F10" s="3" t="s">
        <v>1943</v>
      </c>
      <c r="G10" s="3" t="s">
        <v>1945</v>
      </c>
      <c r="H10" s="3" t="s">
        <v>1947</v>
      </c>
      <c r="I10" s="3" t="s">
        <v>1657</v>
      </c>
      <c r="J10" s="3" t="s">
        <v>1951</v>
      </c>
      <c r="K10" s="3" t="s">
        <v>1422</v>
      </c>
      <c r="L10" s="3" t="s">
        <v>59</v>
      </c>
      <c r="M10" s="3" t="s">
        <v>1954</v>
      </c>
      <c r="N10" s="3" t="s">
        <v>1956</v>
      </c>
      <c r="O10" s="3" t="s">
        <v>1959</v>
      </c>
      <c r="P10" s="3" t="s">
        <v>1961</v>
      </c>
      <c r="Q10" s="40" t="s">
        <v>725</v>
      </c>
      <c r="R10" s="3" t="s">
        <v>64</v>
      </c>
    </row>
    <row r="11">
      <c r="A11" s="3" t="s">
        <v>1966</v>
      </c>
      <c r="B11" s="3" t="s">
        <v>74</v>
      </c>
      <c r="C11" s="3" t="s">
        <v>1937</v>
      </c>
      <c r="D11" s="3" t="s">
        <v>1972</v>
      </c>
      <c r="E11" s="3" t="s">
        <v>1974</v>
      </c>
      <c r="F11" s="3" t="s">
        <v>1976</v>
      </c>
      <c r="G11" s="3" t="s">
        <v>1978</v>
      </c>
      <c r="H11" s="3" t="s">
        <v>1847</v>
      </c>
      <c r="I11" s="3" t="s">
        <v>1657</v>
      </c>
      <c r="J11" s="3" t="s">
        <v>1983</v>
      </c>
      <c r="K11" s="3" t="s">
        <v>1422</v>
      </c>
      <c r="L11" s="3" t="s">
        <v>196</v>
      </c>
      <c r="M11" s="3" t="s">
        <v>1986</v>
      </c>
      <c r="N11" s="3" t="s">
        <v>1988</v>
      </c>
      <c r="O11" s="3" t="s">
        <v>1990</v>
      </c>
      <c r="P11" s="3" t="s">
        <v>307</v>
      </c>
      <c r="Q11" s="40" t="s">
        <v>1434</v>
      </c>
      <c r="R11" s="3" t="s">
        <v>64</v>
      </c>
    </row>
    <row r="12">
      <c r="A12" s="3" t="s">
        <v>1997</v>
      </c>
      <c r="B12" s="3" t="s">
        <v>74</v>
      </c>
      <c r="C12" s="3" t="s">
        <v>1937</v>
      </c>
      <c r="D12" s="3" t="s">
        <v>2002</v>
      </c>
      <c r="E12" s="3" t="s">
        <v>2004</v>
      </c>
      <c r="F12" s="3" t="s">
        <v>2007</v>
      </c>
      <c r="G12" s="3" t="s">
        <v>2009</v>
      </c>
      <c r="H12" s="3" t="s">
        <v>2011</v>
      </c>
      <c r="I12" s="3" t="s">
        <v>1657</v>
      </c>
      <c r="J12" s="3" t="s">
        <v>2015</v>
      </c>
      <c r="K12" s="3" t="s">
        <v>1422</v>
      </c>
      <c r="L12" s="3" t="s">
        <v>59</v>
      </c>
      <c r="M12" s="3" t="s">
        <v>2020</v>
      </c>
      <c r="N12" s="3" t="s">
        <v>2022</v>
      </c>
      <c r="O12" s="3" t="s">
        <v>2023</v>
      </c>
      <c r="P12" s="3" t="s">
        <v>307</v>
      </c>
      <c r="Q12" s="40" t="s">
        <v>1434</v>
      </c>
      <c r="R12" s="3" t="s">
        <v>64</v>
      </c>
    </row>
    <row r="13">
      <c r="A13" s="3" t="s">
        <v>2028</v>
      </c>
      <c r="B13" s="3" t="s">
        <v>74</v>
      </c>
      <c r="C13" s="3" t="s">
        <v>143</v>
      </c>
      <c r="D13" s="3" t="s">
        <v>2031</v>
      </c>
      <c r="E13" s="3" t="s">
        <v>2032</v>
      </c>
      <c r="F13" s="3" t="s">
        <v>2033</v>
      </c>
      <c r="G13" s="3" t="s">
        <v>2035</v>
      </c>
      <c r="H13" s="3" t="s">
        <v>2037</v>
      </c>
      <c r="I13" s="3" t="s">
        <v>1657</v>
      </c>
      <c r="J13" s="3" t="s">
        <v>2039</v>
      </c>
      <c r="K13" s="3" t="s">
        <v>1422</v>
      </c>
      <c r="L13" s="3" t="s">
        <v>59</v>
      </c>
      <c r="M13" s="3" t="s">
        <v>2041</v>
      </c>
      <c r="N13" s="3" t="s">
        <v>2043</v>
      </c>
      <c r="O13" s="3" t="s">
        <v>2045</v>
      </c>
      <c r="P13" s="3" t="s">
        <v>307</v>
      </c>
      <c r="Q13" s="40" t="s">
        <v>1434</v>
      </c>
      <c r="R13" s="3" t="s">
        <v>64</v>
      </c>
    </row>
    <row r="14">
      <c r="A14" s="3" t="s">
        <v>2052</v>
      </c>
      <c r="B14" s="3" t="s">
        <v>74</v>
      </c>
      <c r="C14" s="3" t="s">
        <v>143</v>
      </c>
      <c r="D14" s="3" t="s">
        <v>2057</v>
      </c>
      <c r="E14" s="3" t="s">
        <v>2061</v>
      </c>
      <c r="F14" s="3" t="s">
        <v>2064</v>
      </c>
      <c r="G14" s="3" t="s">
        <v>2067</v>
      </c>
      <c r="H14" s="3" t="s">
        <v>2068</v>
      </c>
      <c r="I14" s="3" t="s">
        <v>2069</v>
      </c>
      <c r="J14" s="3" t="s">
        <v>2071</v>
      </c>
      <c r="K14" s="3" t="s">
        <v>1422</v>
      </c>
      <c r="L14" s="3" t="s">
        <v>196</v>
      </c>
      <c r="M14" s="3" t="s">
        <v>2077</v>
      </c>
      <c r="N14" s="3" t="s">
        <v>2079</v>
      </c>
      <c r="O14" s="3" t="s">
        <v>2081</v>
      </c>
      <c r="P14" s="3" t="s">
        <v>1758</v>
      </c>
      <c r="Q14" s="40" t="s">
        <v>725</v>
      </c>
      <c r="R14" s="3" t="s">
        <v>64</v>
      </c>
    </row>
    <row r="15">
      <c r="A15" s="3" t="s">
        <v>2089</v>
      </c>
      <c r="B15" s="3" t="s">
        <v>74</v>
      </c>
      <c r="C15" s="3" t="s">
        <v>2091</v>
      </c>
      <c r="D15" s="3" t="s">
        <v>2093</v>
      </c>
      <c r="E15" s="3" t="s">
        <v>2095</v>
      </c>
      <c r="F15" s="3" t="s">
        <v>2097</v>
      </c>
      <c r="G15" s="3" t="s">
        <v>2067</v>
      </c>
      <c r="H15" s="3" t="s">
        <v>2099</v>
      </c>
      <c r="I15" s="3" t="s">
        <v>2101</v>
      </c>
      <c r="J15" s="3" t="s">
        <v>2103</v>
      </c>
      <c r="K15" s="3" t="s">
        <v>1422</v>
      </c>
      <c r="L15" s="3" t="s">
        <v>196</v>
      </c>
      <c r="M15" s="3" t="s">
        <v>2105</v>
      </c>
      <c r="N15" s="3" t="s">
        <v>2107</v>
      </c>
      <c r="O15" s="3" t="s">
        <v>2109</v>
      </c>
      <c r="P15" s="3" t="s">
        <v>1961</v>
      </c>
      <c r="Q15" s="40" t="s">
        <v>1434</v>
      </c>
      <c r="R15" s="3" t="s">
        <v>64</v>
      </c>
    </row>
    <row r="16">
      <c r="A16" s="3" t="s">
        <v>2115</v>
      </c>
      <c r="B16" s="3" t="s">
        <v>2117</v>
      </c>
      <c r="C16" s="3" t="s">
        <v>2091</v>
      </c>
      <c r="D16" s="3" t="s">
        <v>2119</v>
      </c>
      <c r="E16" s="3" t="s">
        <v>2120</v>
      </c>
      <c r="F16" s="3" t="s">
        <v>2121</v>
      </c>
      <c r="G16" s="3" t="s">
        <v>2123</v>
      </c>
      <c r="H16" s="3" t="s">
        <v>2125</v>
      </c>
      <c r="I16" s="3" t="s">
        <v>2128</v>
      </c>
      <c r="J16" s="3" t="s">
        <v>2130</v>
      </c>
      <c r="K16" s="3" t="s">
        <v>1422</v>
      </c>
      <c r="L16" s="3" t="s">
        <v>196</v>
      </c>
      <c r="M16" s="3" t="s">
        <v>2135</v>
      </c>
      <c r="N16" s="3" t="s">
        <v>2138</v>
      </c>
      <c r="O16" s="3" t="s">
        <v>2140</v>
      </c>
      <c r="P16" s="3" t="s">
        <v>307</v>
      </c>
      <c r="Q16" s="40" t="s">
        <v>1434</v>
      </c>
      <c r="R16" s="3" t="s">
        <v>64</v>
      </c>
    </row>
    <row r="17">
      <c r="A17" s="3" t="s">
        <v>2150</v>
      </c>
      <c r="B17" s="3" t="s">
        <v>1704</v>
      </c>
      <c r="C17" s="3" t="s">
        <v>2091</v>
      </c>
      <c r="D17" s="3" t="s">
        <v>2152</v>
      </c>
      <c r="E17" s="3" t="s">
        <v>2154</v>
      </c>
      <c r="F17" s="3" t="s">
        <v>2155</v>
      </c>
      <c r="G17" s="3" t="s">
        <v>2156</v>
      </c>
      <c r="H17" s="3" t="s">
        <v>2099</v>
      </c>
      <c r="I17" s="3" t="s">
        <v>1704</v>
      </c>
      <c r="J17" s="3" t="s">
        <v>2071</v>
      </c>
      <c r="K17" s="3" t="s">
        <v>1422</v>
      </c>
      <c r="L17" s="3" t="s">
        <v>196</v>
      </c>
      <c r="M17" s="3" t="s">
        <v>2157</v>
      </c>
      <c r="N17" s="3" t="s">
        <v>2158</v>
      </c>
      <c r="O17" s="3" t="s">
        <v>2159</v>
      </c>
      <c r="P17" s="3" t="s">
        <v>307</v>
      </c>
      <c r="Q17" s="40" t="s">
        <v>1434</v>
      </c>
      <c r="R17" s="3" t="s">
        <v>64</v>
      </c>
    </row>
    <row r="18">
      <c r="A18" s="3" t="s">
        <v>2163</v>
      </c>
      <c r="B18" s="3" t="s">
        <v>74</v>
      </c>
      <c r="C18" s="3" t="s">
        <v>2091</v>
      </c>
      <c r="D18" s="3" t="s">
        <v>2166</v>
      </c>
      <c r="E18" s="3" t="s">
        <v>2168</v>
      </c>
      <c r="F18" s="3" t="s">
        <v>2170</v>
      </c>
      <c r="G18" s="3" t="s">
        <v>2067</v>
      </c>
      <c r="H18" s="3" t="s">
        <v>2171</v>
      </c>
      <c r="I18" s="3" t="s">
        <v>2172</v>
      </c>
      <c r="J18" s="3" t="s">
        <v>2173</v>
      </c>
      <c r="K18" s="3" t="s">
        <v>1422</v>
      </c>
      <c r="L18" s="3" t="s">
        <v>196</v>
      </c>
      <c r="M18" s="3" t="s">
        <v>2176</v>
      </c>
      <c r="N18" s="3" t="s">
        <v>2178</v>
      </c>
      <c r="O18" s="3" t="s">
        <v>2179</v>
      </c>
      <c r="P18" s="3" t="s">
        <v>2181</v>
      </c>
      <c r="Q18" s="40" t="s">
        <v>725</v>
      </c>
      <c r="R18" s="3" t="s">
        <v>64</v>
      </c>
    </row>
    <row r="19">
      <c r="A19" s="3" t="s">
        <v>2183</v>
      </c>
      <c r="B19" s="3" t="s">
        <v>2185</v>
      </c>
      <c r="C19" s="3" t="s">
        <v>2091</v>
      </c>
      <c r="D19" s="3" t="s">
        <v>2187</v>
      </c>
      <c r="E19" s="3" t="s">
        <v>2188</v>
      </c>
      <c r="F19" s="3" t="s">
        <v>2190</v>
      </c>
      <c r="G19" s="3" t="s">
        <v>2192</v>
      </c>
      <c r="H19" s="3" t="s">
        <v>2193</v>
      </c>
      <c r="I19" s="3" t="s">
        <v>2195</v>
      </c>
      <c r="J19" s="3" t="s">
        <v>587</v>
      </c>
      <c r="K19" s="3" t="s">
        <v>524</v>
      </c>
      <c r="L19" s="3" t="s">
        <v>59</v>
      </c>
      <c r="M19" s="3" t="s">
        <v>2199</v>
      </c>
      <c r="N19" s="3" t="s">
        <v>2202</v>
      </c>
      <c r="O19" s="3" t="s">
        <v>2204</v>
      </c>
      <c r="P19" s="3" t="s">
        <v>2207</v>
      </c>
      <c r="Q19" s="40" t="s">
        <v>2209</v>
      </c>
      <c r="R19" s="3" t="s">
        <v>64</v>
      </c>
    </row>
    <row r="20">
      <c r="A20" s="3" t="s">
        <v>2219</v>
      </c>
      <c r="B20" s="3" t="s">
        <v>74</v>
      </c>
      <c r="C20" s="3" t="s">
        <v>364</v>
      </c>
      <c r="D20" s="3" t="s">
        <v>2222</v>
      </c>
      <c r="E20" s="3" t="s">
        <v>2224</v>
      </c>
      <c r="F20" s="3" t="s">
        <v>2225</v>
      </c>
      <c r="G20" s="3" t="s">
        <v>2227</v>
      </c>
      <c r="H20" s="3" t="s">
        <v>562</v>
      </c>
      <c r="I20" s="3" t="s">
        <v>2230</v>
      </c>
      <c r="J20" s="3" t="s">
        <v>2232</v>
      </c>
      <c r="K20" s="3" t="s">
        <v>524</v>
      </c>
      <c r="L20" s="3" t="s">
        <v>59</v>
      </c>
      <c r="M20" s="3" t="s">
        <v>2236</v>
      </c>
      <c r="N20" s="3" t="s">
        <v>2237</v>
      </c>
      <c r="O20" s="3" t="s">
        <v>2239</v>
      </c>
      <c r="P20" s="3" t="s">
        <v>2240</v>
      </c>
      <c r="Q20" s="40" t="s">
        <v>2241</v>
      </c>
      <c r="R20" s="3" t="s">
        <v>64</v>
      </c>
    </row>
    <row r="21">
      <c r="A21" s="3" t="s">
        <v>2251</v>
      </c>
      <c r="B21" s="3" t="s">
        <v>1704</v>
      </c>
      <c r="C21" s="3" t="s">
        <v>364</v>
      </c>
      <c r="D21" s="3" t="s">
        <v>2254</v>
      </c>
      <c r="E21" s="3" t="s">
        <v>2255</v>
      </c>
      <c r="F21" s="3" t="s">
        <v>2258</v>
      </c>
      <c r="G21" s="3" t="s">
        <v>2259</v>
      </c>
      <c r="H21" s="3" t="s">
        <v>562</v>
      </c>
      <c r="I21" s="3" t="s">
        <v>2262</v>
      </c>
      <c r="J21" s="3" t="s">
        <v>2264</v>
      </c>
      <c r="K21" s="3" t="s">
        <v>524</v>
      </c>
      <c r="L21" s="3" t="s">
        <v>59</v>
      </c>
      <c r="M21" s="3" t="s">
        <v>2268</v>
      </c>
      <c r="N21" s="3" t="s">
        <v>2270</v>
      </c>
      <c r="O21" s="3" t="s">
        <v>2272</v>
      </c>
      <c r="P21" s="3" t="s">
        <v>2274</v>
      </c>
      <c r="Q21" s="40" t="s">
        <v>1888</v>
      </c>
      <c r="R21" s="3" t="s">
        <v>64</v>
      </c>
    </row>
    <row r="22">
      <c r="A22" s="3" t="s">
        <v>2279</v>
      </c>
      <c r="B22" s="3" t="s">
        <v>74</v>
      </c>
      <c r="C22" s="3" t="s">
        <v>364</v>
      </c>
      <c r="D22" s="3" t="s">
        <v>2282</v>
      </c>
      <c r="E22" s="3" t="s">
        <v>2283</v>
      </c>
      <c r="F22" s="3" t="s">
        <v>2284</v>
      </c>
      <c r="G22" s="3" t="s">
        <v>2285</v>
      </c>
      <c r="H22" s="3" t="s">
        <v>562</v>
      </c>
      <c r="I22" s="3" t="s">
        <v>2286</v>
      </c>
      <c r="J22" s="3" t="s">
        <v>2287</v>
      </c>
      <c r="K22" s="3" t="s">
        <v>1422</v>
      </c>
      <c r="L22" s="3" t="s">
        <v>59</v>
      </c>
      <c r="M22" s="3" t="s">
        <v>2290</v>
      </c>
      <c r="N22" s="3" t="s">
        <v>2291</v>
      </c>
      <c r="O22" s="3" t="s">
        <v>2293</v>
      </c>
      <c r="P22" s="3" t="s">
        <v>2181</v>
      </c>
      <c r="Q22" s="40" t="s">
        <v>725</v>
      </c>
      <c r="R22" s="3" t="s">
        <v>64</v>
      </c>
    </row>
    <row r="23">
      <c r="A23" s="3" t="s">
        <v>2296</v>
      </c>
      <c r="B23" s="3" t="s">
        <v>74</v>
      </c>
      <c r="C23" s="3" t="s">
        <v>2298</v>
      </c>
      <c r="D23" s="3" t="s">
        <v>2300</v>
      </c>
      <c r="E23" s="3" t="s">
        <v>2302</v>
      </c>
      <c r="F23" s="3" t="s">
        <v>2303</v>
      </c>
      <c r="G23" s="3" t="s">
        <v>2304</v>
      </c>
      <c r="H23" s="3" t="s">
        <v>2305</v>
      </c>
      <c r="I23" s="3" t="s">
        <v>1657</v>
      </c>
      <c r="J23" s="3" t="s">
        <v>2307</v>
      </c>
      <c r="K23" s="3" t="s">
        <v>1422</v>
      </c>
      <c r="L23" s="3" t="s">
        <v>59</v>
      </c>
      <c r="M23" s="3" t="s">
        <v>2310</v>
      </c>
      <c r="N23" s="3" t="s">
        <v>2311</v>
      </c>
      <c r="O23" s="3" t="s">
        <v>2312</v>
      </c>
      <c r="P23" s="3" t="s">
        <v>307</v>
      </c>
      <c r="Q23" s="40" t="s">
        <v>1434</v>
      </c>
      <c r="R23" s="3" t="s">
        <v>64</v>
      </c>
    </row>
    <row r="24">
      <c r="A24" s="3" t="s">
        <v>2315</v>
      </c>
      <c r="B24" s="3" t="s">
        <v>127</v>
      </c>
      <c r="C24" s="3" t="s">
        <v>2317</v>
      </c>
      <c r="D24" s="3" t="s">
        <v>2318</v>
      </c>
      <c r="E24" s="3" t="s">
        <v>2320</v>
      </c>
      <c r="F24" s="3" t="s">
        <v>2322</v>
      </c>
      <c r="G24" s="3" t="s">
        <v>2324</v>
      </c>
      <c r="H24" s="3" t="s">
        <v>562</v>
      </c>
      <c r="I24" s="3" t="s">
        <v>2325</v>
      </c>
      <c r="J24" s="3" t="s">
        <v>2326</v>
      </c>
      <c r="K24" s="3" t="s">
        <v>524</v>
      </c>
      <c r="L24" s="3" t="s">
        <v>59</v>
      </c>
      <c r="M24" s="3" t="s">
        <v>2327</v>
      </c>
      <c r="N24" s="3" t="s">
        <v>2328</v>
      </c>
      <c r="O24" s="3" t="s">
        <v>2329</v>
      </c>
      <c r="P24" s="3" t="s">
        <v>2330</v>
      </c>
      <c r="Q24" s="40" t="s">
        <v>2241</v>
      </c>
      <c r="R24" s="3" t="s">
        <v>64</v>
      </c>
    </row>
    <row r="25">
      <c r="A25" s="3" t="s">
        <v>2331</v>
      </c>
      <c r="B25" s="3" t="s">
        <v>127</v>
      </c>
      <c r="C25" s="3" t="s">
        <v>2317</v>
      </c>
      <c r="D25" s="3" t="s">
        <v>2334</v>
      </c>
      <c r="E25" s="3" t="s">
        <v>2336</v>
      </c>
      <c r="F25" s="3" t="s">
        <v>2337</v>
      </c>
      <c r="G25" s="3" t="s">
        <v>2324</v>
      </c>
      <c r="H25" s="3" t="s">
        <v>562</v>
      </c>
      <c r="I25" s="3" t="s">
        <v>2340</v>
      </c>
      <c r="J25" s="3" t="s">
        <v>2342</v>
      </c>
      <c r="K25" s="3" t="s">
        <v>524</v>
      </c>
      <c r="L25" s="3" t="s">
        <v>59</v>
      </c>
      <c r="M25" s="3" t="s">
        <v>2345</v>
      </c>
      <c r="N25" s="3" t="s">
        <v>2347</v>
      </c>
      <c r="O25" s="3" t="s">
        <v>2349</v>
      </c>
      <c r="P25" s="3" t="s">
        <v>2181</v>
      </c>
      <c r="Q25" s="40" t="s">
        <v>725</v>
      </c>
      <c r="R25" s="3" t="s">
        <v>64</v>
      </c>
    </row>
    <row r="26">
      <c r="A26" s="3" t="s">
        <v>2351</v>
      </c>
      <c r="B26" s="3" t="s">
        <v>2353</v>
      </c>
      <c r="C26" s="3" t="s">
        <v>116</v>
      </c>
      <c r="D26" s="3" t="s">
        <v>2355</v>
      </c>
      <c r="E26" s="3" t="s">
        <v>2357</v>
      </c>
      <c r="F26" s="3" t="s">
        <v>2359</v>
      </c>
      <c r="G26" s="3" t="s">
        <v>2362</v>
      </c>
      <c r="H26" s="3" t="s">
        <v>2365</v>
      </c>
      <c r="I26" s="3" t="s">
        <v>2368</v>
      </c>
      <c r="J26" s="3" t="s">
        <v>2371</v>
      </c>
      <c r="K26" s="3" t="s">
        <v>1422</v>
      </c>
      <c r="L26" s="3" t="s">
        <v>59</v>
      </c>
      <c r="M26" s="3" t="s">
        <v>2376</v>
      </c>
      <c r="N26" s="3" t="s">
        <v>2379</v>
      </c>
      <c r="O26" s="3" t="s">
        <v>2381</v>
      </c>
      <c r="P26" s="3" t="s">
        <v>1961</v>
      </c>
      <c r="Q26" s="40" t="s">
        <v>725</v>
      </c>
      <c r="R26" s="3" t="s">
        <v>64</v>
      </c>
    </row>
    <row r="27">
      <c r="A27" s="3" t="s">
        <v>2389</v>
      </c>
      <c r="B27" s="3" t="s">
        <v>2391</v>
      </c>
      <c r="C27" s="3" t="s">
        <v>116</v>
      </c>
      <c r="D27" s="3" t="s">
        <v>2393</v>
      </c>
      <c r="E27" s="3" t="s">
        <v>2399</v>
      </c>
      <c r="F27" s="3" t="s">
        <v>2401</v>
      </c>
      <c r="G27" s="3" t="s">
        <v>2403</v>
      </c>
      <c r="H27" s="3" t="s">
        <v>562</v>
      </c>
      <c r="I27" s="3" t="s">
        <v>2405</v>
      </c>
      <c r="J27" s="3" t="s">
        <v>2406</v>
      </c>
      <c r="K27" s="3" t="s">
        <v>1422</v>
      </c>
      <c r="L27" s="3" t="s">
        <v>59</v>
      </c>
      <c r="M27" s="3" t="s">
        <v>2407</v>
      </c>
      <c r="N27" s="3" t="s">
        <v>2408</v>
      </c>
      <c r="O27" s="3" t="s">
        <v>2410</v>
      </c>
      <c r="P27" s="3" t="s">
        <v>307</v>
      </c>
      <c r="Q27" s="40" t="s">
        <v>1434</v>
      </c>
      <c r="R27" s="3" t="s">
        <v>64</v>
      </c>
    </row>
    <row r="28">
      <c r="A28" s="3" t="s">
        <v>2413</v>
      </c>
      <c r="B28" s="3" t="s">
        <v>1012</v>
      </c>
      <c r="C28" s="3" t="s">
        <v>2414</v>
      </c>
      <c r="D28" s="3" t="s">
        <v>2415</v>
      </c>
      <c r="E28" s="3" t="s">
        <v>2416</v>
      </c>
      <c r="F28" s="3" t="s">
        <v>2417</v>
      </c>
      <c r="G28" s="3" t="s">
        <v>2418</v>
      </c>
      <c r="H28" s="3" t="s">
        <v>562</v>
      </c>
      <c r="I28" s="3" t="s">
        <v>2419</v>
      </c>
      <c r="J28" s="3" t="s">
        <v>2420</v>
      </c>
      <c r="K28" s="3" t="s">
        <v>524</v>
      </c>
      <c r="L28" s="3" t="s">
        <v>59</v>
      </c>
      <c r="M28" s="3" t="s">
        <v>2421</v>
      </c>
      <c r="N28" s="3" t="s">
        <v>2422</v>
      </c>
      <c r="O28" s="3" t="s">
        <v>2423</v>
      </c>
      <c r="P28" s="3" t="s">
        <v>1792</v>
      </c>
      <c r="Q28" s="40" t="s">
        <v>1434</v>
      </c>
      <c r="R28" s="3" t="s">
        <v>64</v>
      </c>
    </row>
    <row r="29">
      <c r="A29" s="3" t="s">
        <v>2424</v>
      </c>
      <c r="B29" s="3" t="s">
        <v>2425</v>
      </c>
      <c r="C29" s="3" t="s">
        <v>2426</v>
      </c>
      <c r="D29" s="3" t="s">
        <v>2427</v>
      </c>
      <c r="E29" s="3" t="s">
        <v>2428</v>
      </c>
      <c r="F29" s="3" t="s">
        <v>2429</v>
      </c>
      <c r="G29" s="3" t="s">
        <v>2430</v>
      </c>
      <c r="H29" s="3" t="s">
        <v>562</v>
      </c>
      <c r="I29" s="3" t="s">
        <v>2432</v>
      </c>
      <c r="J29" s="3" t="s">
        <v>2434</v>
      </c>
      <c r="K29" s="3" t="s">
        <v>1037</v>
      </c>
      <c r="L29" s="3" t="s">
        <v>196</v>
      </c>
      <c r="M29" s="3" t="s">
        <v>2437</v>
      </c>
      <c r="N29" s="3" t="s">
        <v>2439</v>
      </c>
      <c r="O29" s="3" t="s">
        <v>2440</v>
      </c>
      <c r="P29" s="3" t="s">
        <v>2441</v>
      </c>
      <c r="Q29" s="40" t="s">
        <v>2444</v>
      </c>
      <c r="R29" s="3" t="s">
        <v>64</v>
      </c>
    </row>
    <row r="30">
      <c r="A30" s="3" t="s">
        <v>2485</v>
      </c>
      <c r="B30" s="3" t="s">
        <v>2487</v>
      </c>
      <c r="C30" s="3" t="s">
        <v>2426</v>
      </c>
      <c r="D30" s="3" t="s">
        <v>2490</v>
      </c>
      <c r="E30" s="3" t="s">
        <v>2492</v>
      </c>
      <c r="F30" s="3" t="s">
        <v>2494</v>
      </c>
      <c r="G30" s="3" t="s">
        <v>2495</v>
      </c>
      <c r="H30" s="3" t="s">
        <v>562</v>
      </c>
      <c r="I30" s="3" t="s">
        <v>2496</v>
      </c>
      <c r="J30" s="3" t="s">
        <v>2498</v>
      </c>
      <c r="K30" s="3" t="s">
        <v>524</v>
      </c>
      <c r="L30" s="3" t="s">
        <v>59</v>
      </c>
      <c r="M30" s="3" t="s">
        <v>2501</v>
      </c>
      <c r="N30" s="3" t="s">
        <v>2502</v>
      </c>
      <c r="O30" s="3" t="s">
        <v>2504</v>
      </c>
      <c r="P30" s="3" t="s">
        <v>1792</v>
      </c>
      <c r="Q30" s="40" t="s">
        <v>668</v>
      </c>
      <c r="R30" s="3" t="s">
        <v>64</v>
      </c>
    </row>
    <row r="31">
      <c r="A31" s="3" t="s">
        <v>2511</v>
      </c>
      <c r="B31" s="3" t="s">
        <v>1777</v>
      </c>
      <c r="C31" s="3" t="s">
        <v>2426</v>
      </c>
      <c r="D31" s="3" t="s">
        <v>2515</v>
      </c>
      <c r="E31" s="3" t="s">
        <v>2517</v>
      </c>
      <c r="F31" s="3" t="s">
        <v>2519</v>
      </c>
      <c r="G31" s="3" t="s">
        <v>2522</v>
      </c>
      <c r="H31" s="3" t="s">
        <v>562</v>
      </c>
      <c r="I31" s="3" t="s">
        <v>2524</v>
      </c>
      <c r="J31" s="3" t="s">
        <v>2525</v>
      </c>
      <c r="K31" s="3" t="s">
        <v>1422</v>
      </c>
      <c r="L31" s="3" t="s">
        <v>196</v>
      </c>
      <c r="M31" s="3" t="s">
        <v>2531</v>
      </c>
      <c r="N31" s="3" t="s">
        <v>2533</v>
      </c>
      <c r="O31" s="3" t="s">
        <v>2535</v>
      </c>
      <c r="P31" s="3" t="s">
        <v>2537</v>
      </c>
      <c r="Q31" s="40" t="s">
        <v>725</v>
      </c>
      <c r="R31" s="3" t="s">
        <v>64</v>
      </c>
    </row>
    <row r="32">
      <c r="A32" s="3" t="s">
        <v>2540</v>
      </c>
      <c r="B32" s="3" t="s">
        <v>2425</v>
      </c>
      <c r="C32" s="3" t="s">
        <v>193</v>
      </c>
      <c r="D32" s="3" t="s">
        <v>2543</v>
      </c>
      <c r="E32" s="3" t="s">
        <v>2545</v>
      </c>
      <c r="F32" s="3" t="s">
        <v>2546</v>
      </c>
      <c r="G32" s="3" t="s">
        <v>2548</v>
      </c>
      <c r="H32" s="3" t="s">
        <v>562</v>
      </c>
      <c r="I32" s="3" t="s">
        <v>2552</v>
      </c>
      <c r="J32" s="3" t="s">
        <v>925</v>
      </c>
      <c r="K32" s="3" t="s">
        <v>524</v>
      </c>
      <c r="L32" s="3" t="s">
        <v>59</v>
      </c>
      <c r="M32" s="3" t="s">
        <v>2557</v>
      </c>
      <c r="N32" s="3" t="s">
        <v>2559</v>
      </c>
      <c r="O32" s="3" t="s">
        <v>2560</v>
      </c>
      <c r="P32" s="3" t="s">
        <v>190</v>
      </c>
      <c r="Q32" s="40" t="s">
        <v>668</v>
      </c>
      <c r="R32" s="3" t="s">
        <v>64</v>
      </c>
    </row>
    <row r="33">
      <c r="A33" s="3" t="s">
        <v>2564</v>
      </c>
      <c r="B33" s="3" t="s">
        <v>2566</v>
      </c>
      <c r="C33" s="3" t="s">
        <v>2567</v>
      </c>
      <c r="D33" s="3" t="s">
        <v>2568</v>
      </c>
      <c r="E33" s="3" t="s">
        <v>2569</v>
      </c>
      <c r="F33" s="3" t="s">
        <v>2573</v>
      </c>
      <c r="G33" s="3" t="s">
        <v>2575</v>
      </c>
      <c r="H33" s="3" t="s">
        <v>562</v>
      </c>
      <c r="I33" s="3" t="s">
        <v>2577</v>
      </c>
      <c r="J33" s="3" t="s">
        <v>2579</v>
      </c>
      <c r="K33" s="3" t="s">
        <v>524</v>
      </c>
      <c r="L33" s="3" t="s">
        <v>196</v>
      </c>
      <c r="M33" s="3" t="s">
        <v>2582</v>
      </c>
      <c r="N33" s="3" t="s">
        <v>2584</v>
      </c>
      <c r="O33" s="3" t="s">
        <v>2586</v>
      </c>
      <c r="P33" s="3" t="s">
        <v>190</v>
      </c>
      <c r="Q33" s="40" t="s">
        <v>668</v>
      </c>
      <c r="R33" s="3" t="s">
        <v>64</v>
      </c>
    </row>
    <row r="34">
      <c r="A34" s="3" t="s">
        <v>2590</v>
      </c>
      <c r="B34" s="3" t="s">
        <v>2566</v>
      </c>
      <c r="C34" s="3" t="s">
        <v>2567</v>
      </c>
      <c r="D34" s="3" t="s">
        <v>2593</v>
      </c>
      <c r="E34" s="3" t="s">
        <v>2596</v>
      </c>
      <c r="F34" s="3" t="s">
        <v>2598</v>
      </c>
      <c r="G34" s="3" t="s">
        <v>2575</v>
      </c>
      <c r="H34" s="3" t="s">
        <v>562</v>
      </c>
      <c r="I34" s="3" t="s">
        <v>2601</v>
      </c>
      <c r="J34" s="3" t="s">
        <v>2603</v>
      </c>
      <c r="K34" s="3" t="s">
        <v>524</v>
      </c>
      <c r="L34" s="3" t="s">
        <v>59</v>
      </c>
      <c r="M34" s="3" t="s">
        <v>2613</v>
      </c>
      <c r="N34" s="3" t="s">
        <v>2616</v>
      </c>
      <c r="O34" s="3" t="s">
        <v>2620</v>
      </c>
      <c r="P34" s="3" t="s">
        <v>190</v>
      </c>
      <c r="Q34" s="40" t="s">
        <v>668</v>
      </c>
      <c r="R34" s="3" t="s">
        <v>64</v>
      </c>
    </row>
    <row r="35">
      <c r="A35" s="3" t="s">
        <v>2627</v>
      </c>
      <c r="B35" s="3" t="s">
        <v>1777</v>
      </c>
      <c r="C35" s="3" t="s">
        <v>2629</v>
      </c>
      <c r="D35" s="3" t="s">
        <v>2633</v>
      </c>
      <c r="E35" s="3" t="s">
        <v>2636</v>
      </c>
      <c r="F35" s="3" t="s">
        <v>2639</v>
      </c>
      <c r="G35" s="3" t="s">
        <v>2548</v>
      </c>
      <c r="H35" s="3" t="s">
        <v>562</v>
      </c>
      <c r="I35" s="3" t="s">
        <v>2640</v>
      </c>
      <c r="J35" s="3" t="s">
        <v>967</v>
      </c>
      <c r="K35" s="3" t="s">
        <v>1037</v>
      </c>
      <c r="L35" s="3" t="s">
        <v>196</v>
      </c>
      <c r="M35" s="3" t="s">
        <v>2646</v>
      </c>
      <c r="N35" s="3" t="s">
        <v>2649</v>
      </c>
      <c r="O35" s="3" t="s">
        <v>2651</v>
      </c>
      <c r="P35" s="3" t="s">
        <v>190</v>
      </c>
      <c r="Q35" s="40" t="s">
        <v>668</v>
      </c>
      <c r="R35" s="3" t="s">
        <v>64</v>
      </c>
    </row>
    <row r="36">
      <c r="A36" s="3" t="s">
        <v>2656</v>
      </c>
      <c r="B36" s="3" t="s">
        <v>2658</v>
      </c>
      <c r="C36" s="3" t="s">
        <v>2629</v>
      </c>
      <c r="D36" s="3" t="s">
        <v>2661</v>
      </c>
      <c r="E36" s="3" t="s">
        <v>2663</v>
      </c>
      <c r="F36" s="3" t="s">
        <v>2666</v>
      </c>
      <c r="G36" s="3" t="s">
        <v>2667</v>
      </c>
      <c r="H36" s="3" t="s">
        <v>1056</v>
      </c>
      <c r="I36" s="3" t="s">
        <v>2671</v>
      </c>
      <c r="J36" s="3" t="s">
        <v>2673</v>
      </c>
      <c r="K36" s="3" t="s">
        <v>1422</v>
      </c>
      <c r="L36" s="3" t="s">
        <v>137</v>
      </c>
      <c r="M36" s="3" t="s">
        <v>2677</v>
      </c>
      <c r="N36" s="3" t="s">
        <v>2679</v>
      </c>
      <c r="O36" s="3" t="s">
        <v>2682</v>
      </c>
      <c r="P36" s="3" t="s">
        <v>307</v>
      </c>
      <c r="Q36" s="40" t="s">
        <v>1434</v>
      </c>
      <c r="R36" s="3" t="s">
        <v>64</v>
      </c>
    </row>
    <row r="37">
      <c r="A37" s="3" t="s">
        <v>2688</v>
      </c>
      <c r="B37" s="3" t="s">
        <v>1050</v>
      </c>
      <c r="C37" s="3" t="s">
        <v>2693</v>
      </c>
      <c r="D37" s="3" t="s">
        <v>2695</v>
      </c>
      <c r="E37" s="3" t="s">
        <v>2699</v>
      </c>
      <c r="F37" s="3" t="s">
        <v>2702</v>
      </c>
      <c r="G37" s="3" t="s">
        <v>2703</v>
      </c>
      <c r="H37" s="3" t="s">
        <v>2704</v>
      </c>
      <c r="I37" s="3" t="s">
        <v>2707</v>
      </c>
      <c r="J37" s="3" t="s">
        <v>1058</v>
      </c>
      <c r="K37" s="3" t="s">
        <v>187</v>
      </c>
      <c r="L37" s="3" t="s">
        <v>137</v>
      </c>
      <c r="M37" s="3" t="s">
        <v>2727</v>
      </c>
      <c r="N37" s="3" t="s">
        <v>2729</v>
      </c>
      <c r="O37" s="3" t="s">
        <v>2731</v>
      </c>
      <c r="P37" s="3" t="s">
        <v>2734</v>
      </c>
      <c r="Q37" s="40" t="s">
        <v>1888</v>
      </c>
      <c r="R37" s="3" t="s">
        <v>64</v>
      </c>
    </row>
  </sheetData>
  <autoFilter ref="$A$1:$R$37"/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</hyperlinks>
  <drawing r:id="rId3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20.75"/>
  </cols>
  <sheetData>
    <row r="1">
      <c r="A1" s="41" t="s">
        <v>1101</v>
      </c>
      <c r="B1" s="41" t="s">
        <v>1105</v>
      </c>
      <c r="C1" s="41" t="s">
        <v>1108</v>
      </c>
      <c r="D1" s="41" t="s">
        <v>207</v>
      </c>
      <c r="E1" s="41" t="s">
        <v>1110</v>
      </c>
      <c r="F1" s="41" t="s">
        <v>1112</v>
      </c>
      <c r="G1" s="41" t="s">
        <v>1113</v>
      </c>
      <c r="H1" s="41" t="s">
        <v>1114</v>
      </c>
      <c r="I1" s="41" t="s">
        <v>1116</v>
      </c>
      <c r="J1" s="41" t="s">
        <v>1117</v>
      </c>
      <c r="K1" s="41" t="s">
        <v>1118</v>
      </c>
      <c r="L1" s="41" t="s">
        <v>1120</v>
      </c>
      <c r="M1" s="41" t="s">
        <v>1121</v>
      </c>
    </row>
    <row r="2">
      <c r="A2" s="3" t="s">
        <v>1448</v>
      </c>
      <c r="B2" s="3" t="s">
        <v>1450</v>
      </c>
      <c r="C2" s="3" t="s">
        <v>1126</v>
      </c>
      <c r="D2" s="3" t="s">
        <v>1453</v>
      </c>
      <c r="E2" s="3" t="s">
        <v>1455</v>
      </c>
      <c r="F2" s="3" t="s">
        <v>1130</v>
      </c>
      <c r="G2" s="3" t="s">
        <v>1130</v>
      </c>
      <c r="H2" s="3" t="s">
        <v>1452</v>
      </c>
      <c r="I2" s="3" t="s">
        <v>1459</v>
      </c>
      <c r="J2" s="3" t="s">
        <v>1461</v>
      </c>
      <c r="K2" s="3" t="s">
        <v>1463</v>
      </c>
      <c r="L2" s="3" t="s">
        <v>1136</v>
      </c>
      <c r="M2" s="3" t="s">
        <v>1137</v>
      </c>
    </row>
    <row r="3">
      <c r="A3" s="3" t="s">
        <v>1468</v>
      </c>
      <c r="B3" s="3" t="s">
        <v>1471</v>
      </c>
      <c r="C3" s="3" t="s">
        <v>1141</v>
      </c>
      <c r="D3" s="3" t="s">
        <v>1474</v>
      </c>
      <c r="E3" s="3" t="s">
        <v>1477</v>
      </c>
      <c r="F3" s="3" t="s">
        <v>1479</v>
      </c>
      <c r="G3" s="3" t="s">
        <v>1481</v>
      </c>
      <c r="H3" s="3" t="s">
        <v>1146</v>
      </c>
      <c r="I3" s="3" t="s">
        <v>1485</v>
      </c>
      <c r="J3" s="3" t="s">
        <v>1487</v>
      </c>
      <c r="K3" s="3" t="s">
        <v>1491</v>
      </c>
      <c r="L3" s="3" t="s">
        <v>1494</v>
      </c>
      <c r="M3" s="3" t="s">
        <v>1137</v>
      </c>
    </row>
    <row r="4">
      <c r="A4" s="3" t="s">
        <v>1498</v>
      </c>
      <c r="B4" s="3" t="s">
        <v>1502</v>
      </c>
      <c r="C4" s="3" t="s">
        <v>1184</v>
      </c>
      <c r="D4" s="3" t="s">
        <v>1506</v>
      </c>
      <c r="E4" s="3" t="s">
        <v>1510</v>
      </c>
      <c r="F4" s="3" t="s">
        <v>1513</v>
      </c>
      <c r="G4" s="3" t="s">
        <v>1515</v>
      </c>
      <c r="H4" s="3" t="s">
        <v>1146</v>
      </c>
      <c r="I4" s="3" t="s">
        <v>1272</v>
      </c>
      <c r="J4" s="3" t="s">
        <v>1519</v>
      </c>
      <c r="K4" s="3" t="s">
        <v>1521</v>
      </c>
      <c r="L4" s="3" t="s">
        <v>1524</v>
      </c>
      <c r="M4" s="3" t="s">
        <v>1137</v>
      </c>
    </row>
    <row r="5">
      <c r="A5" s="3" t="s">
        <v>1527</v>
      </c>
      <c r="B5" s="3" t="s">
        <v>1529</v>
      </c>
      <c r="C5" s="3" t="s">
        <v>1126</v>
      </c>
      <c r="D5" s="3" t="s">
        <v>1530</v>
      </c>
      <c r="E5" s="3" t="s">
        <v>1532</v>
      </c>
      <c r="F5" s="3" t="s">
        <v>1130</v>
      </c>
      <c r="G5" s="3" t="s">
        <v>1130</v>
      </c>
      <c r="H5" s="3" t="s">
        <v>1289</v>
      </c>
      <c r="I5" s="3" t="s">
        <v>1534</v>
      </c>
      <c r="J5" s="3" t="s">
        <v>1536</v>
      </c>
      <c r="K5" s="3" t="s">
        <v>1537</v>
      </c>
      <c r="L5" s="3" t="s">
        <v>1539</v>
      </c>
      <c r="M5" s="3" t="s">
        <v>1137</v>
      </c>
    </row>
    <row r="6">
      <c r="A6" s="3" t="s">
        <v>1541</v>
      </c>
      <c r="B6" s="3" t="s">
        <v>1543</v>
      </c>
      <c r="C6" s="3" t="s">
        <v>1544</v>
      </c>
      <c r="D6" s="3" t="s">
        <v>1545</v>
      </c>
      <c r="E6" s="3" t="s">
        <v>1548</v>
      </c>
      <c r="F6" s="3" t="s">
        <v>1550</v>
      </c>
      <c r="G6" s="3" t="s">
        <v>1553</v>
      </c>
      <c r="H6" s="3" t="s">
        <v>1146</v>
      </c>
      <c r="I6" s="3" t="s">
        <v>1556</v>
      </c>
      <c r="J6" s="3" t="s">
        <v>1557</v>
      </c>
      <c r="K6" s="3" t="s">
        <v>1560</v>
      </c>
      <c r="L6" s="3" t="s">
        <v>1563</v>
      </c>
      <c r="M6" s="3" t="s">
        <v>1137</v>
      </c>
    </row>
    <row r="7">
      <c r="A7" s="3" t="s">
        <v>1567</v>
      </c>
      <c r="B7" s="3" t="s">
        <v>1569</v>
      </c>
      <c r="C7" s="3" t="s">
        <v>1571</v>
      </c>
      <c r="D7" s="3" t="s">
        <v>1574</v>
      </c>
      <c r="E7" s="3" t="s">
        <v>1577</v>
      </c>
      <c r="F7" s="3" t="s">
        <v>1581</v>
      </c>
      <c r="G7" s="3" t="s">
        <v>1584</v>
      </c>
      <c r="H7" s="3" t="s">
        <v>1146</v>
      </c>
      <c r="I7" s="3" t="s">
        <v>1586</v>
      </c>
      <c r="J7" s="3" t="s">
        <v>1587</v>
      </c>
      <c r="K7" s="3" t="s">
        <v>1588</v>
      </c>
      <c r="L7" s="3" t="s">
        <v>1589</v>
      </c>
      <c r="M7" s="3" t="s">
        <v>1137</v>
      </c>
    </row>
    <row r="8">
      <c r="A8" s="3" t="s">
        <v>1591</v>
      </c>
      <c r="B8" s="3" t="s">
        <v>1592</v>
      </c>
      <c r="C8" s="3" t="s">
        <v>1535</v>
      </c>
      <c r="D8" s="3" t="s">
        <v>1594</v>
      </c>
      <c r="E8" s="3" t="s">
        <v>1596</v>
      </c>
      <c r="F8" s="3" t="s">
        <v>1598</v>
      </c>
      <c r="G8" s="3" t="s">
        <v>1600</v>
      </c>
      <c r="H8" s="3" t="s">
        <v>1146</v>
      </c>
      <c r="I8" s="3" t="s">
        <v>1603</v>
      </c>
      <c r="J8" s="3" t="s">
        <v>1605</v>
      </c>
      <c r="K8" s="3" t="s">
        <v>1607</v>
      </c>
      <c r="L8" s="3" t="s">
        <v>1609</v>
      </c>
      <c r="M8" s="3" t="s">
        <v>1137</v>
      </c>
    </row>
    <row r="9">
      <c r="A9" s="3" t="s">
        <v>1612</v>
      </c>
      <c r="B9" s="3" t="s">
        <v>1614</v>
      </c>
      <c r="C9" s="3" t="s">
        <v>1126</v>
      </c>
      <c r="D9" s="3" t="s">
        <v>1615</v>
      </c>
      <c r="E9" s="3" t="s">
        <v>1617</v>
      </c>
      <c r="F9" s="3" t="s">
        <v>1130</v>
      </c>
      <c r="G9" s="3" t="s">
        <v>1130</v>
      </c>
      <c r="H9" s="3" t="s">
        <v>1452</v>
      </c>
      <c r="I9" s="3" t="s">
        <v>1621</v>
      </c>
      <c r="J9" s="3" t="s">
        <v>1622</v>
      </c>
      <c r="K9" s="3" t="s">
        <v>1624</v>
      </c>
      <c r="L9" s="3" t="s">
        <v>1626</v>
      </c>
      <c r="M9" s="3" t="s">
        <v>1137</v>
      </c>
    </row>
    <row r="10">
      <c r="A10" s="3" t="s">
        <v>1629</v>
      </c>
      <c r="B10" s="3" t="s">
        <v>1630</v>
      </c>
      <c r="C10" s="3" t="s">
        <v>1632</v>
      </c>
      <c r="D10" s="3" t="s">
        <v>1634</v>
      </c>
      <c r="E10" s="3" t="s">
        <v>1637</v>
      </c>
      <c r="F10" s="3" t="s">
        <v>1639</v>
      </c>
      <c r="G10" s="3" t="s">
        <v>1641</v>
      </c>
      <c r="H10" s="3" t="s">
        <v>1146</v>
      </c>
      <c r="I10" s="3" t="s">
        <v>1645</v>
      </c>
      <c r="J10" s="3" t="s">
        <v>1648</v>
      </c>
      <c r="K10" s="3" t="s">
        <v>1651</v>
      </c>
      <c r="L10" s="3" t="s">
        <v>1654</v>
      </c>
      <c r="M10" s="3" t="s">
        <v>1137</v>
      </c>
    </row>
    <row r="11">
      <c r="A11" s="3" t="s">
        <v>1659</v>
      </c>
      <c r="B11" s="3" t="s">
        <v>1661</v>
      </c>
      <c r="C11" s="3" t="s">
        <v>1126</v>
      </c>
      <c r="D11" s="3" t="s">
        <v>1664</v>
      </c>
      <c r="E11" s="3" t="s">
        <v>1667</v>
      </c>
      <c r="F11" s="3" t="s">
        <v>1130</v>
      </c>
      <c r="G11" s="3" t="s">
        <v>1130</v>
      </c>
      <c r="H11" s="3" t="s">
        <v>1132</v>
      </c>
      <c r="I11" s="3" t="s">
        <v>1674</v>
      </c>
      <c r="J11" s="3" t="s">
        <v>1676</v>
      </c>
      <c r="K11" s="3" t="s">
        <v>1680</v>
      </c>
      <c r="L11" s="3" t="s">
        <v>1293</v>
      </c>
      <c r="M11" s="3" t="s">
        <v>1137</v>
      </c>
    </row>
    <row r="12">
      <c r="A12" s="3" t="s">
        <v>1686</v>
      </c>
      <c r="B12" s="3" t="s">
        <v>1689</v>
      </c>
      <c r="C12" s="3" t="s">
        <v>1691</v>
      </c>
      <c r="D12" s="3" t="s">
        <v>1692</v>
      </c>
      <c r="E12" s="3" t="s">
        <v>1693</v>
      </c>
      <c r="F12" s="3" t="s">
        <v>1694</v>
      </c>
      <c r="G12" s="3" t="s">
        <v>1695</v>
      </c>
      <c r="H12" s="3" t="s">
        <v>1146</v>
      </c>
      <c r="I12" s="3" t="s">
        <v>1697</v>
      </c>
      <c r="J12" s="3" t="s">
        <v>1698</v>
      </c>
      <c r="K12" s="3" t="s">
        <v>1700</v>
      </c>
      <c r="L12" s="3" t="s">
        <v>1701</v>
      </c>
      <c r="M12" s="3" t="s">
        <v>1702</v>
      </c>
    </row>
    <row r="13">
      <c r="A13" s="3" t="s">
        <v>1703</v>
      </c>
      <c r="B13" s="3" t="s">
        <v>1705</v>
      </c>
      <c r="C13" s="3" t="s">
        <v>1708</v>
      </c>
      <c r="D13" s="3" t="s">
        <v>1710</v>
      </c>
      <c r="E13" s="3" t="s">
        <v>1712</v>
      </c>
      <c r="F13" s="3" t="s">
        <v>1714</v>
      </c>
      <c r="G13" s="3" t="s">
        <v>1716</v>
      </c>
      <c r="H13" s="3" t="s">
        <v>1146</v>
      </c>
      <c r="I13" s="3" t="s">
        <v>1720</v>
      </c>
      <c r="J13" s="3" t="s">
        <v>1722</v>
      </c>
      <c r="K13" s="3" t="s">
        <v>1724</v>
      </c>
      <c r="L13" s="3" t="s">
        <v>1725</v>
      </c>
      <c r="M13" s="3" t="s">
        <v>1137</v>
      </c>
    </row>
    <row r="14">
      <c r="A14" s="3" t="s">
        <v>1728</v>
      </c>
      <c r="B14" s="3" t="s">
        <v>1729</v>
      </c>
      <c r="C14" s="3" t="s">
        <v>1730</v>
      </c>
      <c r="D14" s="3" t="s">
        <v>1731</v>
      </c>
      <c r="E14" s="3" t="s">
        <v>1733</v>
      </c>
      <c r="F14" s="3" t="s">
        <v>1735</v>
      </c>
      <c r="G14" s="3" t="s">
        <v>1737</v>
      </c>
      <c r="H14" s="3" t="s">
        <v>1146</v>
      </c>
      <c r="I14" s="3" t="s">
        <v>1740</v>
      </c>
      <c r="J14" s="3" t="s">
        <v>1742</v>
      </c>
      <c r="K14" s="3" t="s">
        <v>1744</v>
      </c>
      <c r="L14" s="3" t="s">
        <v>1746</v>
      </c>
      <c r="M14" s="3" t="s">
        <v>1137</v>
      </c>
    </row>
    <row r="15">
      <c r="A15" s="3" t="s">
        <v>1749</v>
      </c>
      <c r="B15" s="3" t="s">
        <v>1753</v>
      </c>
      <c r="C15" s="3" t="s">
        <v>1126</v>
      </c>
      <c r="D15" s="3" t="s">
        <v>1756</v>
      </c>
      <c r="E15" s="3" t="s">
        <v>1760</v>
      </c>
      <c r="F15" s="3" t="s">
        <v>1130</v>
      </c>
      <c r="G15" s="3" t="s">
        <v>1130</v>
      </c>
      <c r="H15" s="3" t="s">
        <v>1289</v>
      </c>
      <c r="I15" s="3" t="s">
        <v>1763</v>
      </c>
      <c r="J15" s="3" t="s">
        <v>1765</v>
      </c>
      <c r="K15" s="3" t="s">
        <v>1768</v>
      </c>
      <c r="L15" s="3" t="s">
        <v>1293</v>
      </c>
      <c r="M15" s="3" t="s">
        <v>1137</v>
      </c>
    </row>
    <row r="16">
      <c r="A16" s="3" t="s">
        <v>1773</v>
      </c>
      <c r="B16" s="3" t="s">
        <v>1776</v>
      </c>
      <c r="C16" s="3" t="s">
        <v>1126</v>
      </c>
      <c r="D16" s="3" t="s">
        <v>1778</v>
      </c>
      <c r="E16" s="3" t="s">
        <v>1780</v>
      </c>
      <c r="F16" s="3" t="s">
        <v>1130</v>
      </c>
      <c r="G16" s="3" t="s">
        <v>1130</v>
      </c>
      <c r="H16" s="3" t="s">
        <v>1289</v>
      </c>
      <c r="I16" s="3" t="s">
        <v>1787</v>
      </c>
      <c r="J16" s="3" t="s">
        <v>1790</v>
      </c>
      <c r="K16" s="3" t="s">
        <v>1793</v>
      </c>
      <c r="L16" s="3" t="s">
        <v>1796</v>
      </c>
      <c r="M16" s="3" t="s">
        <v>1702</v>
      </c>
    </row>
    <row r="17">
      <c r="A17" s="3" t="s">
        <v>1799</v>
      </c>
      <c r="B17" s="3" t="s">
        <v>1801</v>
      </c>
      <c r="C17" s="3" t="s">
        <v>1802</v>
      </c>
      <c r="D17" s="3" t="s">
        <v>1804</v>
      </c>
      <c r="E17" s="3" t="s">
        <v>1806</v>
      </c>
      <c r="F17" s="3" t="s">
        <v>1807</v>
      </c>
      <c r="G17" s="3" t="s">
        <v>1809</v>
      </c>
      <c r="H17" s="3" t="s">
        <v>1146</v>
      </c>
      <c r="I17" s="3" t="s">
        <v>1811</v>
      </c>
      <c r="J17" s="3" t="s">
        <v>1812</v>
      </c>
      <c r="K17" s="3" t="s">
        <v>1813</v>
      </c>
      <c r="L17" s="3" t="s">
        <v>1814</v>
      </c>
      <c r="M17" s="3" t="s">
        <v>1137</v>
      </c>
    </row>
    <row r="18">
      <c r="A18" s="3" t="s">
        <v>1815</v>
      </c>
      <c r="B18" s="3" t="s">
        <v>1816</v>
      </c>
      <c r="C18" s="3" t="s">
        <v>1817</v>
      </c>
      <c r="D18" s="3" t="s">
        <v>1818</v>
      </c>
      <c r="E18" s="3" t="s">
        <v>1819</v>
      </c>
      <c r="F18" s="3" t="s">
        <v>1820</v>
      </c>
      <c r="G18" s="3" t="s">
        <v>1821</v>
      </c>
      <c r="H18" s="3" t="s">
        <v>1146</v>
      </c>
      <c r="I18" s="3" t="s">
        <v>1822</v>
      </c>
      <c r="J18" s="3" t="s">
        <v>1823</v>
      </c>
      <c r="K18" s="3" t="s">
        <v>1824</v>
      </c>
      <c r="L18" s="3" t="s">
        <v>1825</v>
      </c>
      <c r="M18" s="3" t="s">
        <v>1610</v>
      </c>
    </row>
    <row r="19">
      <c r="A19" s="3" t="s">
        <v>1826</v>
      </c>
      <c r="B19" s="3" t="s">
        <v>1827</v>
      </c>
      <c r="C19" s="3" t="s">
        <v>1126</v>
      </c>
      <c r="D19" s="3" t="s">
        <v>1828</v>
      </c>
      <c r="E19" s="3" t="s">
        <v>1829</v>
      </c>
      <c r="F19" s="3" t="s">
        <v>1130</v>
      </c>
      <c r="G19" s="3" t="s">
        <v>1130</v>
      </c>
      <c r="H19" s="3" t="s">
        <v>1452</v>
      </c>
      <c r="I19" s="3" t="s">
        <v>1830</v>
      </c>
      <c r="J19" s="3" t="s">
        <v>1831</v>
      </c>
      <c r="K19" s="3" t="s">
        <v>1832</v>
      </c>
      <c r="L19" s="3" t="s">
        <v>1833</v>
      </c>
      <c r="M19" s="3" t="s">
        <v>1702</v>
      </c>
    </row>
    <row r="20">
      <c r="A20" s="3" t="s">
        <v>1835</v>
      </c>
      <c r="B20" s="3" t="s">
        <v>1837</v>
      </c>
      <c r="C20" s="3" t="s">
        <v>1184</v>
      </c>
      <c r="D20" s="3" t="s">
        <v>1840</v>
      </c>
      <c r="E20" s="3" t="s">
        <v>1842</v>
      </c>
      <c r="F20" s="3" t="s">
        <v>1844</v>
      </c>
      <c r="G20" s="3" t="s">
        <v>1846</v>
      </c>
      <c r="H20" s="3" t="s">
        <v>1146</v>
      </c>
      <c r="I20" s="3" t="s">
        <v>1849</v>
      </c>
      <c r="J20" s="3" t="s">
        <v>1850</v>
      </c>
      <c r="K20" s="3" t="s">
        <v>1851</v>
      </c>
      <c r="L20" s="3" t="s">
        <v>1852</v>
      </c>
      <c r="M20" s="3" t="s">
        <v>1137</v>
      </c>
    </row>
    <row r="21">
      <c r="A21" s="3" t="s">
        <v>1855</v>
      </c>
      <c r="B21" s="3" t="s">
        <v>1857</v>
      </c>
      <c r="C21" s="3" t="s">
        <v>1126</v>
      </c>
      <c r="D21" s="3" t="s">
        <v>1858</v>
      </c>
      <c r="E21" s="3" t="s">
        <v>1859</v>
      </c>
      <c r="F21" s="3" t="s">
        <v>1130</v>
      </c>
      <c r="G21" s="3" t="s">
        <v>1130</v>
      </c>
      <c r="H21" s="3" t="s">
        <v>1289</v>
      </c>
      <c r="I21" s="3" t="s">
        <v>1861</v>
      </c>
      <c r="J21" s="3" t="s">
        <v>1228</v>
      </c>
      <c r="K21" s="3" t="s">
        <v>1863</v>
      </c>
      <c r="L21" s="3" t="s">
        <v>1865</v>
      </c>
      <c r="M21" s="3" t="s">
        <v>1137</v>
      </c>
    </row>
    <row r="22">
      <c r="A22" s="3" t="s">
        <v>1868</v>
      </c>
      <c r="B22" s="3" t="s">
        <v>1869</v>
      </c>
      <c r="C22" s="3" t="s">
        <v>1871</v>
      </c>
      <c r="D22" s="3" t="s">
        <v>1873</v>
      </c>
      <c r="E22" s="3" t="s">
        <v>1875</v>
      </c>
      <c r="F22" s="3" t="s">
        <v>1876</v>
      </c>
      <c r="G22" s="3" t="s">
        <v>1878</v>
      </c>
      <c r="H22" s="3" t="s">
        <v>1146</v>
      </c>
      <c r="I22" s="3" t="s">
        <v>1882</v>
      </c>
      <c r="J22" s="3" t="s">
        <v>1884</v>
      </c>
      <c r="K22" s="3" t="s">
        <v>1887</v>
      </c>
      <c r="L22" s="3" t="s">
        <v>1889</v>
      </c>
      <c r="M22" s="3" t="s">
        <v>1137</v>
      </c>
    </row>
    <row r="23">
      <c r="A23" s="3" t="s">
        <v>1891</v>
      </c>
      <c r="B23" s="3" t="s">
        <v>1893</v>
      </c>
      <c r="C23" s="3" t="s">
        <v>1894</v>
      </c>
      <c r="D23" s="3" t="s">
        <v>1896</v>
      </c>
      <c r="E23" s="3" t="s">
        <v>1898</v>
      </c>
      <c r="F23" s="3" t="s">
        <v>1900</v>
      </c>
      <c r="G23" s="3" t="s">
        <v>1901</v>
      </c>
      <c r="H23" s="3" t="s">
        <v>1146</v>
      </c>
      <c r="I23" s="3" t="s">
        <v>1902</v>
      </c>
      <c r="J23" s="3" t="s">
        <v>1903</v>
      </c>
      <c r="K23" s="3" t="s">
        <v>1904</v>
      </c>
      <c r="L23" s="3" t="s">
        <v>1906</v>
      </c>
      <c r="M23" s="3" t="s">
        <v>1137</v>
      </c>
    </row>
    <row r="24">
      <c r="A24" s="3" t="s">
        <v>1908</v>
      </c>
      <c r="B24" s="3" t="s">
        <v>1910</v>
      </c>
      <c r="C24" s="3" t="s">
        <v>1912</v>
      </c>
      <c r="D24" s="3" t="s">
        <v>1914</v>
      </c>
      <c r="E24" s="3" t="s">
        <v>1916</v>
      </c>
      <c r="F24" s="3" t="s">
        <v>1917</v>
      </c>
      <c r="G24" s="3" t="s">
        <v>1919</v>
      </c>
      <c r="H24" s="3" t="s">
        <v>1146</v>
      </c>
      <c r="I24" s="3" t="s">
        <v>1922</v>
      </c>
      <c r="J24" s="3" t="s">
        <v>1923</v>
      </c>
      <c r="K24" s="3" t="s">
        <v>1924</v>
      </c>
      <c r="L24" s="3" t="s">
        <v>1925</v>
      </c>
      <c r="M24" s="3" t="s">
        <v>1137</v>
      </c>
    </row>
    <row r="25">
      <c r="A25" s="3" t="s">
        <v>1927</v>
      </c>
      <c r="B25" s="3" t="s">
        <v>1929</v>
      </c>
      <c r="C25" s="3" t="s">
        <v>1930</v>
      </c>
      <c r="D25" s="3" t="s">
        <v>1932</v>
      </c>
      <c r="E25" s="3" t="s">
        <v>1934</v>
      </c>
      <c r="F25" s="3" t="s">
        <v>1936</v>
      </c>
      <c r="G25" s="3" t="s">
        <v>1940</v>
      </c>
      <c r="H25" s="3" t="s">
        <v>1146</v>
      </c>
      <c r="I25" s="3" t="s">
        <v>1946</v>
      </c>
      <c r="J25" s="3" t="s">
        <v>1949</v>
      </c>
      <c r="K25" s="3" t="s">
        <v>1950</v>
      </c>
      <c r="L25" s="3" t="s">
        <v>1952</v>
      </c>
      <c r="M25" s="3" t="s">
        <v>1137</v>
      </c>
    </row>
    <row r="26">
      <c r="A26" s="3" t="s">
        <v>1953</v>
      </c>
      <c r="B26" s="3" t="s">
        <v>1955</v>
      </c>
      <c r="C26" s="3" t="s">
        <v>1957</v>
      </c>
      <c r="D26" s="3" t="s">
        <v>1960</v>
      </c>
      <c r="E26" s="3" t="s">
        <v>1962</v>
      </c>
      <c r="F26" s="3" t="s">
        <v>1963</v>
      </c>
      <c r="G26" s="3" t="s">
        <v>1964</v>
      </c>
      <c r="H26" s="3" t="s">
        <v>1146</v>
      </c>
      <c r="I26" s="3" t="s">
        <v>1967</v>
      </c>
      <c r="J26" s="3" t="s">
        <v>1969</v>
      </c>
      <c r="K26" s="3" t="s">
        <v>1970</v>
      </c>
      <c r="L26" s="3" t="s">
        <v>1973</v>
      </c>
      <c r="M26" s="3" t="s">
        <v>1137</v>
      </c>
    </row>
    <row r="27">
      <c r="A27" s="3" t="s">
        <v>1977</v>
      </c>
      <c r="B27" s="3" t="s">
        <v>1980</v>
      </c>
      <c r="C27" s="3" t="s">
        <v>1126</v>
      </c>
      <c r="D27" s="3" t="s">
        <v>1982</v>
      </c>
      <c r="E27" s="3" t="s">
        <v>1985</v>
      </c>
      <c r="F27" s="3" t="s">
        <v>1130</v>
      </c>
      <c r="G27" s="3" t="s">
        <v>1130</v>
      </c>
      <c r="H27" s="3" t="s">
        <v>1289</v>
      </c>
      <c r="I27" s="3" t="s">
        <v>1987</v>
      </c>
      <c r="J27" s="3" t="s">
        <v>1989</v>
      </c>
      <c r="K27" s="3" t="s">
        <v>1991</v>
      </c>
      <c r="L27" s="3" t="s">
        <v>1993</v>
      </c>
      <c r="M27" s="3" t="s">
        <v>1137</v>
      </c>
    </row>
    <row r="28">
      <c r="A28" s="3" t="s">
        <v>1995</v>
      </c>
      <c r="B28" s="3" t="s">
        <v>1996</v>
      </c>
      <c r="C28" s="3" t="s">
        <v>1197</v>
      </c>
      <c r="D28" s="3" t="s">
        <v>1999</v>
      </c>
      <c r="E28" s="3" t="s">
        <v>2001</v>
      </c>
      <c r="F28" s="3" t="s">
        <v>2003</v>
      </c>
      <c r="G28" s="3" t="s">
        <v>2006</v>
      </c>
      <c r="H28" s="3" t="s">
        <v>1146</v>
      </c>
      <c r="I28" s="3" t="s">
        <v>2010</v>
      </c>
      <c r="J28" s="3" t="s">
        <v>2012</v>
      </c>
      <c r="K28" s="3" t="s">
        <v>2013</v>
      </c>
      <c r="L28" s="3" t="s">
        <v>2016</v>
      </c>
      <c r="M28" s="3" t="s">
        <v>1137</v>
      </c>
    </row>
    <row r="29">
      <c r="A29" s="3" t="s">
        <v>2018</v>
      </c>
      <c r="B29" s="3" t="s">
        <v>2021</v>
      </c>
      <c r="C29" s="3" t="s">
        <v>1219</v>
      </c>
      <c r="D29" s="3" t="s">
        <v>2024</v>
      </c>
      <c r="E29" s="3" t="s">
        <v>2025</v>
      </c>
      <c r="F29" s="3" t="s">
        <v>1130</v>
      </c>
      <c r="G29" s="3" t="s">
        <v>1130</v>
      </c>
      <c r="H29" s="3" t="s">
        <v>1132</v>
      </c>
      <c r="I29" s="3" t="s">
        <v>2029</v>
      </c>
      <c r="J29" s="3" t="s">
        <v>2046</v>
      </c>
      <c r="K29" s="3" t="s">
        <v>2048</v>
      </c>
      <c r="L29" s="3" t="s">
        <v>2050</v>
      </c>
      <c r="M29" s="3" t="s">
        <v>1137</v>
      </c>
    </row>
    <row r="30">
      <c r="A30" s="3" t="s">
        <v>2054</v>
      </c>
      <c r="B30" s="3" t="s">
        <v>2056</v>
      </c>
      <c r="C30" s="3" t="s">
        <v>1126</v>
      </c>
      <c r="D30" s="3" t="s">
        <v>2059</v>
      </c>
      <c r="E30" s="3" t="s">
        <v>2062</v>
      </c>
      <c r="F30" s="3" t="s">
        <v>1130</v>
      </c>
      <c r="G30" s="3" t="s">
        <v>1130</v>
      </c>
      <c r="H30" s="3" t="s">
        <v>1289</v>
      </c>
      <c r="I30" s="3" t="s">
        <v>2070</v>
      </c>
      <c r="J30" s="3" t="s">
        <v>2073</v>
      </c>
      <c r="K30" s="3" t="s">
        <v>2074</v>
      </c>
      <c r="L30" s="3" t="s">
        <v>2076</v>
      </c>
      <c r="M30" s="3" t="s">
        <v>1702</v>
      </c>
    </row>
    <row r="31">
      <c r="A31" s="3" t="s">
        <v>2080</v>
      </c>
      <c r="B31" s="3" t="s">
        <v>2083</v>
      </c>
      <c r="C31" s="3" t="s">
        <v>2084</v>
      </c>
      <c r="D31" s="3" t="s">
        <v>2086</v>
      </c>
      <c r="E31" s="3" t="s">
        <v>2087</v>
      </c>
      <c r="F31" s="3" t="s">
        <v>2088</v>
      </c>
      <c r="G31" s="3" t="s">
        <v>2090</v>
      </c>
      <c r="H31" s="3" t="s">
        <v>1146</v>
      </c>
      <c r="I31" s="3" t="s">
        <v>2092</v>
      </c>
      <c r="J31" s="3" t="s">
        <v>2094</v>
      </c>
      <c r="K31" s="3" t="s">
        <v>2096</v>
      </c>
      <c r="L31" s="3" t="s">
        <v>2098</v>
      </c>
      <c r="M31" s="3" t="s">
        <v>1137</v>
      </c>
    </row>
    <row r="32">
      <c r="A32" s="3" t="s">
        <v>2100</v>
      </c>
      <c r="B32" s="3" t="s">
        <v>2102</v>
      </c>
      <c r="C32" s="3" t="s">
        <v>1153</v>
      </c>
      <c r="D32" s="3" t="s">
        <v>2104</v>
      </c>
      <c r="E32" s="3" t="s">
        <v>2106</v>
      </c>
      <c r="F32" s="3" t="s">
        <v>2108</v>
      </c>
      <c r="G32" s="3" t="s">
        <v>2110</v>
      </c>
      <c r="H32" s="3" t="s">
        <v>2111</v>
      </c>
      <c r="I32" s="3" t="s">
        <v>2112</v>
      </c>
      <c r="J32" s="3" t="s">
        <v>2113</v>
      </c>
      <c r="K32" s="3" t="s">
        <v>2114</v>
      </c>
      <c r="L32" s="3" t="s">
        <v>2116</v>
      </c>
      <c r="M32" s="3" t="s">
        <v>1167</v>
      </c>
    </row>
    <row r="33">
      <c r="A33" s="3" t="s">
        <v>2118</v>
      </c>
      <c r="B33" s="3" t="s">
        <v>1183</v>
      </c>
      <c r="C33" s="3" t="s">
        <v>1184</v>
      </c>
      <c r="D33" s="3" t="s">
        <v>2122</v>
      </c>
      <c r="E33" s="3" t="s">
        <v>2124</v>
      </c>
      <c r="F33" s="3" t="s">
        <v>2126</v>
      </c>
      <c r="G33" s="3" t="s">
        <v>2127</v>
      </c>
      <c r="H33" s="3" t="s">
        <v>1146</v>
      </c>
      <c r="I33" s="3" t="s">
        <v>2132</v>
      </c>
      <c r="J33" s="3" t="s">
        <v>1192</v>
      </c>
      <c r="K33" s="3" t="s">
        <v>2134</v>
      </c>
      <c r="L33" s="3" t="s">
        <v>2137</v>
      </c>
      <c r="M33" s="3" t="s">
        <v>1137</v>
      </c>
    </row>
    <row r="34">
      <c r="A34" s="3" t="s">
        <v>2142</v>
      </c>
      <c r="B34" s="3" t="s">
        <v>2144</v>
      </c>
      <c r="C34" s="3" t="s">
        <v>1535</v>
      </c>
      <c r="D34" s="3" t="s">
        <v>2146</v>
      </c>
      <c r="E34" s="3" t="s">
        <v>2148</v>
      </c>
      <c r="F34" s="3" t="s">
        <v>1566</v>
      </c>
      <c r="G34" s="3" t="s">
        <v>1570</v>
      </c>
      <c r="H34" s="3" t="s">
        <v>1146</v>
      </c>
      <c r="I34" s="3" t="s">
        <v>2151</v>
      </c>
      <c r="J34" s="3" t="s">
        <v>2153</v>
      </c>
      <c r="K34" s="3" t="s">
        <v>2160</v>
      </c>
      <c r="L34" s="3" t="s">
        <v>2161</v>
      </c>
      <c r="M34" s="3" t="s">
        <v>1137</v>
      </c>
    </row>
    <row r="35">
      <c r="A35" s="3" t="s">
        <v>2162</v>
      </c>
      <c r="B35" s="3" t="s">
        <v>2164</v>
      </c>
      <c r="C35" s="3" t="s">
        <v>1635</v>
      </c>
      <c r="D35" s="3" t="s">
        <v>2165</v>
      </c>
      <c r="E35" s="3" t="s">
        <v>2167</v>
      </c>
      <c r="F35" s="3" t="s">
        <v>2169</v>
      </c>
      <c r="G35" s="4" t="s">
        <v>1647</v>
      </c>
      <c r="H35" s="3" t="s">
        <v>1650</v>
      </c>
      <c r="I35" s="3" t="s">
        <v>1653</v>
      </c>
      <c r="J35" s="3" t="s">
        <v>1656</v>
      </c>
      <c r="K35" s="3" t="s">
        <v>1658</v>
      </c>
      <c r="L35" s="3" t="s">
        <v>2177</v>
      </c>
      <c r="M35" s="3" t="s">
        <v>1663</v>
      </c>
    </row>
  </sheetData>
  <autoFilter ref="$A$1:$M$3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2.0"/>
  </cols>
  <sheetData>
    <row r="1">
      <c r="A1" s="41" t="s">
        <v>1200</v>
      </c>
      <c r="B1" s="41" t="s">
        <v>1205</v>
      </c>
      <c r="C1" s="41" t="s">
        <v>1209</v>
      </c>
      <c r="D1" s="41" t="s">
        <v>1212</v>
      </c>
      <c r="E1" s="41" t="s">
        <v>1215</v>
      </c>
      <c r="F1" s="41" t="s">
        <v>1217</v>
      </c>
      <c r="G1" s="41" t="s">
        <v>1220</v>
      </c>
      <c r="H1" s="41" t="s">
        <v>1224</v>
      </c>
      <c r="I1" s="41" t="s">
        <v>1226</v>
      </c>
      <c r="J1" s="41" t="s">
        <v>1227</v>
      </c>
      <c r="K1" s="41" t="s">
        <v>1229</v>
      </c>
      <c r="L1" s="41" t="s">
        <v>1121</v>
      </c>
    </row>
    <row r="2">
      <c r="A2" s="3" t="s">
        <v>2044</v>
      </c>
      <c r="B2" s="3" t="s">
        <v>2047</v>
      </c>
      <c r="C2" s="3" t="s">
        <v>188</v>
      </c>
      <c r="D2" s="3" t="s">
        <v>2049</v>
      </c>
      <c r="E2" s="3" t="s">
        <v>2051</v>
      </c>
      <c r="F2" s="3" t="s">
        <v>2053</v>
      </c>
      <c r="G2" s="3" t="s">
        <v>1244</v>
      </c>
      <c r="H2" s="3" t="s">
        <v>2060</v>
      </c>
      <c r="I2" s="3" t="s">
        <v>2063</v>
      </c>
      <c r="J2" s="3" t="s">
        <v>2065</v>
      </c>
      <c r="K2" s="40" t="s">
        <v>1434</v>
      </c>
      <c r="L2" s="3" t="s">
        <v>2129</v>
      </c>
    </row>
    <row r="3">
      <c r="A3" s="3" t="s">
        <v>2131</v>
      </c>
      <c r="B3" s="3" t="s">
        <v>2133</v>
      </c>
      <c r="C3" s="3" t="s">
        <v>1359</v>
      </c>
      <c r="D3" s="3" t="s">
        <v>2136</v>
      </c>
      <c r="E3" s="3" t="s">
        <v>2139</v>
      </c>
      <c r="F3" s="3" t="s">
        <v>2141</v>
      </c>
      <c r="G3" s="3" t="s">
        <v>2143</v>
      </c>
      <c r="H3" s="3" t="s">
        <v>2145</v>
      </c>
      <c r="I3" s="3" t="s">
        <v>2147</v>
      </c>
      <c r="J3" s="3" t="s">
        <v>2149</v>
      </c>
      <c r="K3" s="40" t="s">
        <v>725</v>
      </c>
      <c r="L3" s="3" t="s">
        <v>1353</v>
      </c>
    </row>
    <row r="4">
      <c r="A4" s="3" t="s">
        <v>2194</v>
      </c>
      <c r="B4" s="3" t="s">
        <v>2196</v>
      </c>
      <c r="C4" s="3" t="s">
        <v>1359</v>
      </c>
      <c r="D4" s="3" t="s">
        <v>2197</v>
      </c>
      <c r="E4" s="3" t="s">
        <v>2198</v>
      </c>
      <c r="F4" s="3" t="s">
        <v>2201</v>
      </c>
      <c r="G4" s="3" t="s">
        <v>2203</v>
      </c>
      <c r="H4" s="3" t="s">
        <v>2206</v>
      </c>
      <c r="I4" s="3" t="s">
        <v>2208</v>
      </c>
      <c r="J4" s="3" t="s">
        <v>2211</v>
      </c>
      <c r="K4" s="40" t="s">
        <v>1525</v>
      </c>
      <c r="L4" s="3" t="s">
        <v>2220</v>
      </c>
    </row>
    <row r="5">
      <c r="A5" s="3" t="s">
        <v>2221</v>
      </c>
      <c r="B5" s="3" t="s">
        <v>2223</v>
      </c>
      <c r="C5" s="3" t="s">
        <v>1359</v>
      </c>
      <c r="D5" s="3" t="s">
        <v>2226</v>
      </c>
      <c r="E5" s="3" t="s">
        <v>2228</v>
      </c>
      <c r="F5" s="3" t="s">
        <v>2229</v>
      </c>
      <c r="G5" s="3" t="s">
        <v>2231</v>
      </c>
      <c r="H5" s="3" t="s">
        <v>2233</v>
      </c>
      <c r="I5" s="3" t="s">
        <v>2234</v>
      </c>
      <c r="J5" s="3" t="s">
        <v>2235</v>
      </c>
      <c r="K5" s="40" t="s">
        <v>2238</v>
      </c>
      <c r="L5" s="3" t="s">
        <v>2257</v>
      </c>
    </row>
    <row r="6">
      <c r="A6" s="3" t="s">
        <v>2260</v>
      </c>
      <c r="B6" s="3" t="s">
        <v>2265</v>
      </c>
      <c r="C6" s="3" t="s">
        <v>1359</v>
      </c>
      <c r="D6" s="3" t="s">
        <v>2269</v>
      </c>
      <c r="E6" s="3" t="s">
        <v>74</v>
      </c>
      <c r="F6" s="3" t="s">
        <v>2275</v>
      </c>
      <c r="G6" s="3" t="s">
        <v>2277</v>
      </c>
      <c r="H6" s="3" t="s">
        <v>2278</v>
      </c>
      <c r="I6" s="3" t="s">
        <v>2280</v>
      </c>
      <c r="J6" s="3" t="s">
        <v>2281</v>
      </c>
      <c r="K6" s="40" t="s">
        <v>1434</v>
      </c>
      <c r="L6" s="3" t="s">
        <v>1874</v>
      </c>
    </row>
    <row r="7">
      <c r="A7" s="3" t="s">
        <v>2288</v>
      </c>
      <c r="B7" s="3" t="s">
        <v>2289</v>
      </c>
      <c r="C7" s="3" t="s">
        <v>1359</v>
      </c>
      <c r="D7" s="3" t="s">
        <v>2292</v>
      </c>
      <c r="E7" s="3" t="s">
        <v>1777</v>
      </c>
      <c r="F7" s="3" t="s">
        <v>2294</v>
      </c>
      <c r="G7" s="3" t="s">
        <v>2295</v>
      </c>
      <c r="H7" s="3" t="s">
        <v>2297</v>
      </c>
      <c r="I7" s="3" t="s">
        <v>2299</v>
      </c>
      <c r="J7" s="3" t="s">
        <v>2301</v>
      </c>
      <c r="K7" s="40" t="s">
        <v>725</v>
      </c>
      <c r="L7" s="3" t="s">
        <v>2306</v>
      </c>
    </row>
    <row r="8">
      <c r="A8" s="3" t="s">
        <v>2308</v>
      </c>
      <c r="B8" s="3" t="s">
        <v>2309</v>
      </c>
      <c r="C8" s="3" t="s">
        <v>1359</v>
      </c>
      <c r="D8" s="3" t="s">
        <v>2313</v>
      </c>
      <c r="E8" s="3" t="s">
        <v>107</v>
      </c>
      <c r="F8" s="3" t="s">
        <v>2314</v>
      </c>
      <c r="G8" s="3" t="s">
        <v>2316</v>
      </c>
      <c r="H8" s="3" t="s">
        <v>2319</v>
      </c>
      <c r="I8" s="3" t="s">
        <v>2321</v>
      </c>
      <c r="J8" s="3" t="s">
        <v>2323</v>
      </c>
      <c r="K8" s="40" t="s">
        <v>668</v>
      </c>
      <c r="L8" s="3" t="s">
        <v>2360</v>
      </c>
    </row>
    <row r="9">
      <c r="A9" s="3" t="s">
        <v>2364</v>
      </c>
      <c r="B9" s="3" t="s">
        <v>2367</v>
      </c>
      <c r="C9" s="3" t="s">
        <v>1359</v>
      </c>
      <c r="D9" s="3" t="s">
        <v>2372</v>
      </c>
      <c r="E9" s="3" t="s">
        <v>1836</v>
      </c>
      <c r="F9" s="3" t="s">
        <v>2380</v>
      </c>
      <c r="G9" s="3" t="s">
        <v>2382</v>
      </c>
      <c r="H9" s="3" t="s">
        <v>2384</v>
      </c>
      <c r="I9" s="3" t="s">
        <v>2386</v>
      </c>
      <c r="J9" s="3" t="s">
        <v>2387</v>
      </c>
      <c r="K9" s="40" t="s">
        <v>1434</v>
      </c>
      <c r="L9" s="3" t="s">
        <v>1353</v>
      </c>
    </row>
    <row r="10">
      <c r="A10" s="3" t="s">
        <v>2394</v>
      </c>
      <c r="B10" s="3" t="s">
        <v>2395</v>
      </c>
      <c r="C10" s="3" t="s">
        <v>1359</v>
      </c>
      <c r="D10" s="3" t="s">
        <v>2396</v>
      </c>
      <c r="E10" s="3" t="s">
        <v>74</v>
      </c>
      <c r="F10" s="3" t="s">
        <v>2397</v>
      </c>
      <c r="G10" s="3" t="s">
        <v>2398</v>
      </c>
      <c r="H10" s="3" t="s">
        <v>2400</v>
      </c>
      <c r="I10" s="3" t="s">
        <v>2402</v>
      </c>
      <c r="J10" s="3" t="s">
        <v>2404</v>
      </c>
      <c r="K10" s="40" t="s">
        <v>1434</v>
      </c>
      <c r="L10" s="3" t="s">
        <v>1874</v>
      </c>
    </row>
    <row r="11">
      <c r="A11" s="3" t="s">
        <v>2409</v>
      </c>
      <c r="B11" s="3" t="s">
        <v>2411</v>
      </c>
      <c r="C11" s="3" t="s">
        <v>1359</v>
      </c>
      <c r="D11" s="3" t="s">
        <v>2412</v>
      </c>
      <c r="E11" s="3" t="s">
        <v>74</v>
      </c>
      <c r="F11" s="3" t="s">
        <v>2431</v>
      </c>
      <c r="G11" s="3" t="s">
        <v>2433</v>
      </c>
      <c r="H11" s="3" t="s">
        <v>2435</v>
      </c>
      <c r="I11" s="3" t="s">
        <v>2436</v>
      </c>
      <c r="J11" s="3" t="s">
        <v>2438</v>
      </c>
      <c r="K11" s="40" t="s">
        <v>1434</v>
      </c>
      <c r="L11" s="3" t="s">
        <v>2443</v>
      </c>
    </row>
    <row r="12">
      <c r="A12" s="3" t="s">
        <v>2445</v>
      </c>
      <c r="B12" s="3" t="s">
        <v>2447</v>
      </c>
      <c r="C12" s="3" t="s">
        <v>1359</v>
      </c>
      <c r="D12" s="3" t="s">
        <v>2450</v>
      </c>
      <c r="E12" s="3" t="s">
        <v>1704</v>
      </c>
      <c r="F12" s="3" t="s">
        <v>2452</v>
      </c>
      <c r="G12" s="3" t="s">
        <v>2454</v>
      </c>
      <c r="H12" s="3" t="s">
        <v>2456</v>
      </c>
      <c r="I12" s="3" t="s">
        <v>2457</v>
      </c>
      <c r="J12" s="3" t="s">
        <v>2458</v>
      </c>
      <c r="K12" s="40" t="s">
        <v>725</v>
      </c>
      <c r="L12" s="3" t="s">
        <v>2462</v>
      </c>
    </row>
    <row r="13">
      <c r="A13" s="3" t="s">
        <v>2463</v>
      </c>
      <c r="B13" s="3" t="s">
        <v>2464</v>
      </c>
      <c r="C13" s="3" t="s">
        <v>1359</v>
      </c>
      <c r="D13" s="3" t="s">
        <v>2471</v>
      </c>
      <c r="E13" s="3" t="s">
        <v>2185</v>
      </c>
      <c r="F13" s="3" t="s">
        <v>2474</v>
      </c>
      <c r="G13" s="3" t="s">
        <v>2476</v>
      </c>
      <c r="H13" s="3" t="s">
        <v>2478</v>
      </c>
      <c r="I13" s="3" t="s">
        <v>2479</v>
      </c>
      <c r="J13" s="3" t="s">
        <v>2480</v>
      </c>
      <c r="K13" s="40" t="s">
        <v>725</v>
      </c>
      <c r="L13" s="3" t="s">
        <v>1874</v>
      </c>
    </row>
    <row r="14">
      <c r="A14" s="3" t="s">
        <v>2481</v>
      </c>
      <c r="B14" s="3" t="s">
        <v>2482</v>
      </c>
      <c r="C14" s="3" t="s">
        <v>1359</v>
      </c>
      <c r="D14" s="3" t="s">
        <v>2483</v>
      </c>
      <c r="E14" s="3" t="s">
        <v>2484</v>
      </c>
      <c r="F14" s="3" t="s">
        <v>2486</v>
      </c>
      <c r="G14" s="3" t="s">
        <v>2488</v>
      </c>
      <c r="H14" s="3" t="s">
        <v>2489</v>
      </c>
      <c r="I14" s="3" t="s">
        <v>2491</v>
      </c>
      <c r="J14" s="3" t="s">
        <v>2493</v>
      </c>
      <c r="K14" s="40" t="s">
        <v>2238</v>
      </c>
      <c r="L14" s="3" t="s">
        <v>2497</v>
      </c>
    </row>
    <row r="15">
      <c r="A15" s="3" t="s">
        <v>2499</v>
      </c>
      <c r="B15" s="3" t="s">
        <v>2500</v>
      </c>
      <c r="C15" s="3" t="s">
        <v>1359</v>
      </c>
      <c r="D15" s="3" t="s">
        <v>2503</v>
      </c>
      <c r="E15" s="3" t="s">
        <v>2484</v>
      </c>
      <c r="F15" s="3" t="s">
        <v>2505</v>
      </c>
      <c r="G15" s="3" t="s">
        <v>2506</v>
      </c>
      <c r="H15" s="3" t="s">
        <v>2507</v>
      </c>
      <c r="I15" s="3" t="s">
        <v>2510</v>
      </c>
      <c r="J15" s="3" t="s">
        <v>2512</v>
      </c>
      <c r="K15" s="40" t="s">
        <v>725</v>
      </c>
      <c r="L15" s="3" t="s">
        <v>2518</v>
      </c>
    </row>
    <row r="16">
      <c r="A16" s="3" t="s">
        <v>2521</v>
      </c>
      <c r="B16" s="3" t="s">
        <v>2523</v>
      </c>
      <c r="C16" s="3" t="s">
        <v>1382</v>
      </c>
      <c r="D16" s="3" t="s">
        <v>2527</v>
      </c>
      <c r="E16" s="3" t="s">
        <v>2530</v>
      </c>
      <c r="F16" s="3" t="s">
        <v>2532</v>
      </c>
      <c r="G16" s="3" t="s">
        <v>2534</v>
      </c>
      <c r="H16" s="3" t="s">
        <v>2536</v>
      </c>
      <c r="I16" s="3" t="s">
        <v>2538</v>
      </c>
      <c r="J16" s="3" t="s">
        <v>2539</v>
      </c>
      <c r="K16" s="40" t="s">
        <v>1434</v>
      </c>
      <c r="L16" s="3" t="s">
        <v>1874</v>
      </c>
    </row>
    <row r="17">
      <c r="A17" s="3" t="s">
        <v>2541</v>
      </c>
      <c r="B17" s="3" t="s">
        <v>2542</v>
      </c>
      <c r="C17" s="3" t="s">
        <v>1382</v>
      </c>
      <c r="D17" s="3" t="s">
        <v>2544</v>
      </c>
      <c r="E17" s="3" t="s">
        <v>127</v>
      </c>
      <c r="F17" s="3" t="s">
        <v>2547</v>
      </c>
      <c r="G17" s="3" t="s">
        <v>2549</v>
      </c>
      <c r="H17" s="3" t="s">
        <v>2551</v>
      </c>
      <c r="I17" s="3" t="s">
        <v>2554</v>
      </c>
      <c r="J17" s="3" t="s">
        <v>2555</v>
      </c>
      <c r="K17" s="40" t="s">
        <v>2241</v>
      </c>
      <c r="L17" s="3" t="s">
        <v>1465</v>
      </c>
    </row>
    <row r="18">
      <c r="A18" s="3" t="s">
        <v>2606</v>
      </c>
      <c r="B18" s="3" t="s">
        <v>2608</v>
      </c>
      <c r="C18" s="3" t="s">
        <v>1359</v>
      </c>
      <c r="D18" s="3" t="s">
        <v>2612</v>
      </c>
      <c r="E18" s="3" t="s">
        <v>2353</v>
      </c>
      <c r="F18" s="3" t="s">
        <v>2619</v>
      </c>
      <c r="G18" s="3" t="s">
        <v>2621</v>
      </c>
      <c r="H18" s="3" t="s">
        <v>2623</v>
      </c>
      <c r="I18" s="3" t="s">
        <v>2626</v>
      </c>
      <c r="J18" s="3" t="s">
        <v>2628</v>
      </c>
      <c r="K18" s="40" t="s">
        <v>1066</v>
      </c>
      <c r="L18" s="3" t="s">
        <v>2681</v>
      </c>
    </row>
    <row r="19">
      <c r="A19" s="3" t="s">
        <v>2684</v>
      </c>
      <c r="B19" s="3" t="s">
        <v>2685</v>
      </c>
      <c r="C19" s="3" t="s">
        <v>1382</v>
      </c>
      <c r="D19" s="3" t="s">
        <v>2687</v>
      </c>
      <c r="E19" s="3" t="s">
        <v>2689</v>
      </c>
      <c r="F19" s="3" t="s">
        <v>2691</v>
      </c>
      <c r="G19" s="3" t="s">
        <v>2694</v>
      </c>
      <c r="H19" s="3" t="s">
        <v>2696</v>
      </c>
      <c r="I19" s="3" t="s">
        <v>2698</v>
      </c>
      <c r="J19" s="3" t="s">
        <v>2700</v>
      </c>
      <c r="K19" s="40" t="s">
        <v>1066</v>
      </c>
      <c r="L19" s="3" t="s">
        <v>2706</v>
      </c>
    </row>
    <row r="20">
      <c r="A20" s="3" t="s">
        <v>2709</v>
      </c>
      <c r="B20" s="3" t="s">
        <v>2710</v>
      </c>
      <c r="C20" s="3" t="s">
        <v>1382</v>
      </c>
      <c r="D20" s="3" t="s">
        <v>2713</v>
      </c>
      <c r="E20" s="3" t="s">
        <v>2425</v>
      </c>
      <c r="F20" s="3" t="s">
        <v>2716</v>
      </c>
      <c r="G20" s="3" t="s">
        <v>2717</v>
      </c>
      <c r="H20" s="3" t="s">
        <v>2719</v>
      </c>
      <c r="I20" s="3" t="s">
        <v>2722</v>
      </c>
      <c r="J20" s="3" t="s">
        <v>2723</v>
      </c>
      <c r="K20" s="40" t="s">
        <v>668</v>
      </c>
      <c r="L20" s="3" t="s">
        <v>1465</v>
      </c>
    </row>
    <row r="21">
      <c r="A21" s="3" t="s">
        <v>2730</v>
      </c>
      <c r="B21" s="3" t="s">
        <v>2733</v>
      </c>
      <c r="C21" s="3" t="s">
        <v>1382</v>
      </c>
      <c r="D21" s="3" t="s">
        <v>2737</v>
      </c>
      <c r="E21" s="3" t="s">
        <v>2425</v>
      </c>
      <c r="F21" s="3" t="s">
        <v>2738</v>
      </c>
      <c r="G21" s="3" t="s">
        <v>2739</v>
      </c>
      <c r="H21" s="3" t="s">
        <v>2741</v>
      </c>
      <c r="I21" s="3" t="s">
        <v>2743</v>
      </c>
      <c r="J21" s="3" t="s">
        <v>2744</v>
      </c>
      <c r="K21" s="40" t="s">
        <v>668</v>
      </c>
      <c r="L21" s="3" t="s">
        <v>1465</v>
      </c>
    </row>
    <row r="22">
      <c r="A22" s="3" t="s">
        <v>2751</v>
      </c>
      <c r="B22" s="3" t="s">
        <v>2753</v>
      </c>
      <c r="C22" s="3" t="s">
        <v>2755</v>
      </c>
      <c r="D22" s="3" t="s">
        <v>2757</v>
      </c>
      <c r="E22" s="3" t="s">
        <v>2566</v>
      </c>
      <c r="F22" s="3" t="s">
        <v>2760</v>
      </c>
      <c r="G22" s="3" t="s">
        <v>2762</v>
      </c>
      <c r="H22" s="3" t="s">
        <v>2764</v>
      </c>
      <c r="I22" s="3" t="s">
        <v>2767</v>
      </c>
      <c r="J22" s="3" t="s">
        <v>2770</v>
      </c>
      <c r="K22" s="40" t="s">
        <v>2238</v>
      </c>
      <c r="L22" s="3" t="s">
        <v>2773</v>
      </c>
    </row>
    <row r="23">
      <c r="A23" s="3" t="s">
        <v>2775</v>
      </c>
      <c r="B23" s="3" t="s">
        <v>2777</v>
      </c>
      <c r="C23" s="3" t="s">
        <v>328</v>
      </c>
      <c r="D23" s="3" t="s">
        <v>2780</v>
      </c>
      <c r="E23" s="3" t="s">
        <v>2782</v>
      </c>
      <c r="F23" s="3" t="s">
        <v>2785</v>
      </c>
      <c r="G23" s="3" t="s">
        <v>2788</v>
      </c>
      <c r="H23" s="3" t="s">
        <v>2791</v>
      </c>
      <c r="I23" s="3" t="s">
        <v>2793</v>
      </c>
      <c r="J23" s="3" t="s">
        <v>2796</v>
      </c>
      <c r="K23" s="40" t="s">
        <v>1434</v>
      </c>
      <c r="L23" s="3" t="s">
        <v>2800</v>
      </c>
    </row>
    <row r="24">
      <c r="A24" s="3" t="s">
        <v>2803</v>
      </c>
      <c r="B24" s="3" t="s">
        <v>2807</v>
      </c>
      <c r="C24" s="3" t="s">
        <v>328</v>
      </c>
      <c r="D24" s="3" t="s">
        <v>2809</v>
      </c>
      <c r="E24" s="3" t="s">
        <v>2811</v>
      </c>
      <c r="F24" s="3" t="s">
        <v>2814</v>
      </c>
      <c r="G24" s="3" t="s">
        <v>2267</v>
      </c>
      <c r="H24" s="3" t="s">
        <v>2815</v>
      </c>
      <c r="I24" s="3" t="s">
        <v>2817</v>
      </c>
      <c r="J24" s="3" t="s">
        <v>2821</v>
      </c>
      <c r="K24" s="40" t="s">
        <v>676</v>
      </c>
      <c r="L24" s="3" t="s">
        <v>2332</v>
      </c>
    </row>
    <row r="25">
      <c r="A25" s="3" t="s">
        <v>2874</v>
      </c>
      <c r="B25" s="3" t="s">
        <v>2335</v>
      </c>
      <c r="C25" s="3" t="s">
        <v>328</v>
      </c>
      <c r="D25" s="3" t="s">
        <v>2878</v>
      </c>
      <c r="E25" s="3" t="s">
        <v>2879</v>
      </c>
      <c r="F25" s="3" t="s">
        <v>2881</v>
      </c>
      <c r="G25" s="3" t="s">
        <v>2883</v>
      </c>
      <c r="H25" s="3" t="s">
        <v>2885</v>
      </c>
      <c r="I25" s="3" t="s">
        <v>2887</v>
      </c>
      <c r="J25" s="3" t="s">
        <v>2889</v>
      </c>
      <c r="K25" s="40" t="s">
        <v>2892</v>
      </c>
      <c r="L25" s="3" t="s">
        <v>1128</v>
      </c>
    </row>
    <row r="26">
      <c r="A26" s="3" t="s">
        <v>2935</v>
      </c>
      <c r="B26" s="3" t="s">
        <v>2937</v>
      </c>
      <c r="C26" s="3" t="s">
        <v>2940</v>
      </c>
      <c r="D26" s="3" t="s">
        <v>2942</v>
      </c>
      <c r="E26" s="3" t="s">
        <v>2945</v>
      </c>
      <c r="F26" s="3" t="s">
        <v>2948</v>
      </c>
      <c r="G26" s="3" t="s">
        <v>2950</v>
      </c>
      <c r="H26" s="3" t="s">
        <v>2953</v>
      </c>
      <c r="I26" s="3" t="s">
        <v>2955</v>
      </c>
      <c r="J26" s="3" t="s">
        <v>2958</v>
      </c>
      <c r="K26" s="40" t="s">
        <v>1434</v>
      </c>
      <c r="L26" s="3" t="s">
        <v>2961</v>
      </c>
    </row>
    <row r="27">
      <c r="A27" s="3" t="s">
        <v>2963</v>
      </c>
      <c r="B27" s="3" t="s">
        <v>2352</v>
      </c>
      <c r="C27" s="3" t="s">
        <v>333</v>
      </c>
      <c r="D27" s="3" t="s">
        <v>2970</v>
      </c>
      <c r="E27" s="3" t="s">
        <v>2972</v>
      </c>
      <c r="F27" s="3" t="s">
        <v>2974</v>
      </c>
      <c r="G27" s="3" t="s">
        <v>2976</v>
      </c>
      <c r="H27" s="3" t="s">
        <v>2977</v>
      </c>
      <c r="I27" s="3" t="s">
        <v>2980</v>
      </c>
      <c r="J27" s="3" t="s">
        <v>2983</v>
      </c>
      <c r="K27" s="40" t="s">
        <v>676</v>
      </c>
      <c r="L27" s="3" t="s">
        <v>2378</v>
      </c>
    </row>
  </sheetData>
  <autoFilter ref="$A$1:$L$27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</hyperlinks>
  <drawing r:id="rId2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5" width="22.63"/>
    <col customWidth="1" min="6" max="6" width="40.13"/>
    <col customWidth="1" min="7" max="10" width="23.25"/>
    <col customWidth="1" min="11" max="12" width="15.13"/>
    <col customWidth="1" min="13" max="15" width="32.63"/>
    <col customWidth="1" min="16" max="16" width="23.88"/>
    <col customWidth="1" min="17" max="17" width="41.38"/>
    <col customWidth="1" min="18" max="18" width="18.88"/>
  </cols>
  <sheetData>
    <row r="1">
      <c r="A1" s="42" t="s">
        <v>495</v>
      </c>
      <c r="B1" s="42" t="s">
        <v>7</v>
      </c>
      <c r="C1" s="42" t="s">
        <v>9</v>
      </c>
      <c r="D1" s="42" t="s">
        <v>498</v>
      </c>
      <c r="E1" s="42" t="s">
        <v>499</v>
      </c>
      <c r="F1" s="42" t="s">
        <v>500</v>
      </c>
      <c r="G1" s="42" t="s">
        <v>501</v>
      </c>
      <c r="H1" s="42" t="s">
        <v>404</v>
      </c>
      <c r="I1" s="42" t="s">
        <v>503</v>
      </c>
      <c r="J1" s="42" t="s">
        <v>505</v>
      </c>
      <c r="K1" s="42" t="s">
        <v>407</v>
      </c>
      <c r="L1" s="42" t="s">
        <v>410</v>
      </c>
      <c r="M1" s="42" t="s">
        <v>507</v>
      </c>
      <c r="N1" s="42" t="s">
        <v>508</v>
      </c>
      <c r="O1" s="42" t="s">
        <v>509</v>
      </c>
      <c r="P1" s="42" t="s">
        <v>34</v>
      </c>
      <c r="Q1" s="42" t="s">
        <v>37</v>
      </c>
      <c r="R1" s="42" t="s">
        <v>29</v>
      </c>
    </row>
    <row r="2">
      <c r="A2" s="3" t="s">
        <v>2363</v>
      </c>
      <c r="B2" s="3" t="s">
        <v>740</v>
      </c>
      <c r="C2" s="3" t="s">
        <v>2370</v>
      </c>
      <c r="D2" s="3" t="s">
        <v>2374</v>
      </c>
      <c r="E2" s="3" t="s">
        <v>2375</v>
      </c>
      <c r="F2" s="3" t="s">
        <v>2377</v>
      </c>
      <c r="G2" s="3" t="s">
        <v>560</v>
      </c>
      <c r="H2" s="3" t="s">
        <v>562</v>
      </c>
      <c r="I2" s="3" t="s">
        <v>2383</v>
      </c>
      <c r="J2" s="3" t="s">
        <v>2385</v>
      </c>
      <c r="K2" s="3" t="s">
        <v>524</v>
      </c>
      <c r="L2" s="3" t="s">
        <v>59</v>
      </c>
      <c r="M2" s="3" t="s">
        <v>2388</v>
      </c>
      <c r="N2" s="3" t="s">
        <v>2390</v>
      </c>
      <c r="O2" s="3" t="s">
        <v>2392</v>
      </c>
      <c r="P2" s="3" t="s">
        <v>535</v>
      </c>
      <c r="Q2" s="40" t="s">
        <v>641</v>
      </c>
      <c r="R2" s="43" t="s">
        <v>64</v>
      </c>
    </row>
    <row r="3">
      <c r="A3" s="3" t="s">
        <v>2442</v>
      </c>
      <c r="B3" s="3" t="s">
        <v>740</v>
      </c>
      <c r="C3" s="3" t="s">
        <v>2370</v>
      </c>
      <c r="D3" s="3" t="s">
        <v>2446</v>
      </c>
      <c r="E3" s="3" t="s">
        <v>2448</v>
      </c>
      <c r="F3" s="3" t="s">
        <v>2449</v>
      </c>
      <c r="G3" s="3" t="s">
        <v>2451</v>
      </c>
      <c r="H3" s="3" t="s">
        <v>562</v>
      </c>
      <c r="I3" s="3" t="s">
        <v>2453</v>
      </c>
      <c r="J3" s="3" t="s">
        <v>2455</v>
      </c>
      <c r="K3" s="3" t="s">
        <v>524</v>
      </c>
      <c r="L3" s="3" t="s">
        <v>59</v>
      </c>
      <c r="M3" s="3" t="s">
        <v>2459</v>
      </c>
      <c r="N3" s="3" t="s">
        <v>2460</v>
      </c>
      <c r="O3" s="3" t="s">
        <v>2461</v>
      </c>
      <c r="P3" s="3" t="s">
        <v>535</v>
      </c>
      <c r="Q3" s="40" t="s">
        <v>641</v>
      </c>
      <c r="R3" s="43" t="s">
        <v>64</v>
      </c>
    </row>
    <row r="4">
      <c r="A4" s="3" t="s">
        <v>2465</v>
      </c>
      <c r="B4" s="3" t="s">
        <v>898</v>
      </c>
      <c r="C4" s="3" t="s">
        <v>580</v>
      </c>
      <c r="D4" s="3" t="s">
        <v>2466</v>
      </c>
      <c r="E4" s="3" t="s">
        <v>761</v>
      </c>
      <c r="F4" s="3" t="s">
        <v>2467</v>
      </c>
      <c r="G4" s="3" t="s">
        <v>2468</v>
      </c>
      <c r="H4" s="3" t="s">
        <v>2469</v>
      </c>
      <c r="I4" s="3" t="s">
        <v>2453</v>
      </c>
      <c r="J4" s="3" t="s">
        <v>2470</v>
      </c>
      <c r="K4" s="3" t="s">
        <v>767</v>
      </c>
      <c r="L4" s="3" t="s">
        <v>196</v>
      </c>
      <c r="M4" s="3" t="s">
        <v>2472</v>
      </c>
      <c r="N4" s="3" t="s">
        <v>2473</v>
      </c>
      <c r="O4" s="3" t="s">
        <v>2475</v>
      </c>
      <c r="P4" s="3" t="s">
        <v>2477</v>
      </c>
      <c r="Q4" s="40" t="s">
        <v>908</v>
      </c>
      <c r="R4" s="43" t="s">
        <v>64</v>
      </c>
    </row>
    <row r="5">
      <c r="A5" s="3" t="s">
        <v>2508</v>
      </c>
      <c r="B5" s="3" t="s">
        <v>2509</v>
      </c>
      <c r="C5" s="3" t="s">
        <v>580</v>
      </c>
      <c r="D5" s="3" t="s">
        <v>2513</v>
      </c>
      <c r="E5" s="3" t="s">
        <v>2514</v>
      </c>
      <c r="F5" s="3" t="s">
        <v>2516</v>
      </c>
      <c r="G5" s="3" t="s">
        <v>562</v>
      </c>
      <c r="H5" s="3" t="s">
        <v>562</v>
      </c>
      <c r="I5" s="3" t="s">
        <v>2520</v>
      </c>
      <c r="J5" s="3" t="s">
        <v>664</v>
      </c>
      <c r="K5" s="3" t="s">
        <v>524</v>
      </c>
      <c r="L5" s="3" t="s">
        <v>59</v>
      </c>
      <c r="M5" s="3" t="s">
        <v>2526</v>
      </c>
      <c r="N5" s="3" t="s">
        <v>2528</v>
      </c>
      <c r="O5" s="3" t="s">
        <v>2529</v>
      </c>
      <c r="P5" s="3" t="s">
        <v>473</v>
      </c>
      <c r="Q5" s="40" t="s">
        <v>1578</v>
      </c>
      <c r="R5" s="43" t="s">
        <v>64</v>
      </c>
    </row>
    <row r="6">
      <c r="A6" s="3" t="s">
        <v>2565</v>
      </c>
      <c r="B6" s="3" t="s">
        <v>2509</v>
      </c>
      <c r="C6" s="3" t="s">
        <v>580</v>
      </c>
      <c r="D6" s="3" t="s">
        <v>727</v>
      </c>
      <c r="E6" s="3" t="s">
        <v>2570</v>
      </c>
      <c r="F6" s="3" t="s">
        <v>2572</v>
      </c>
      <c r="G6" s="3" t="s">
        <v>562</v>
      </c>
      <c r="H6" s="3" t="s">
        <v>562</v>
      </c>
      <c r="I6" s="3" t="s">
        <v>2520</v>
      </c>
      <c r="J6" s="3" t="s">
        <v>731</v>
      </c>
      <c r="K6" s="3" t="s">
        <v>524</v>
      </c>
      <c r="L6" s="3" t="s">
        <v>59</v>
      </c>
      <c r="M6" s="3" t="s">
        <v>2594</v>
      </c>
      <c r="N6" s="3" t="s">
        <v>734</v>
      </c>
      <c r="O6" s="3" t="s">
        <v>2599</v>
      </c>
      <c r="P6" s="3" t="s">
        <v>473</v>
      </c>
      <c r="Q6" s="40" t="s">
        <v>1578</v>
      </c>
      <c r="R6" s="43" t="s">
        <v>64</v>
      </c>
    </row>
    <row r="7">
      <c r="A7" s="3" t="s">
        <v>2605</v>
      </c>
      <c r="B7" s="3" t="s">
        <v>740</v>
      </c>
      <c r="C7" s="3" t="s">
        <v>2610</v>
      </c>
      <c r="D7" s="3" t="s">
        <v>2611</v>
      </c>
      <c r="E7" s="3" t="s">
        <v>2614</v>
      </c>
      <c r="F7" s="3" t="s">
        <v>2617</v>
      </c>
      <c r="G7" s="3" t="s">
        <v>788</v>
      </c>
      <c r="H7" s="3" t="s">
        <v>789</v>
      </c>
      <c r="I7" s="3" t="s">
        <v>2453</v>
      </c>
      <c r="J7" s="3" t="s">
        <v>2625</v>
      </c>
      <c r="K7" s="3" t="s">
        <v>840</v>
      </c>
      <c r="L7" s="3" t="s">
        <v>196</v>
      </c>
      <c r="M7" s="3" t="s">
        <v>2630</v>
      </c>
      <c r="N7" s="3" t="s">
        <v>2632</v>
      </c>
      <c r="O7" s="3" t="s">
        <v>2635</v>
      </c>
      <c r="P7" s="3" t="s">
        <v>2638</v>
      </c>
      <c r="Q7" s="40" t="s">
        <v>908</v>
      </c>
      <c r="R7" s="43" t="s">
        <v>64</v>
      </c>
    </row>
    <row r="8">
      <c r="A8" s="3" t="s">
        <v>2643</v>
      </c>
      <c r="B8" s="3" t="s">
        <v>84</v>
      </c>
      <c r="C8" s="3" t="s">
        <v>617</v>
      </c>
      <c r="D8" s="3" t="s">
        <v>2648</v>
      </c>
      <c r="E8" s="3" t="s">
        <v>786</v>
      </c>
      <c r="F8" s="3" t="s">
        <v>2653</v>
      </c>
      <c r="G8" s="3" t="s">
        <v>788</v>
      </c>
      <c r="H8" s="3" t="s">
        <v>788</v>
      </c>
      <c r="I8" s="3" t="s">
        <v>2453</v>
      </c>
      <c r="J8" s="3" t="s">
        <v>791</v>
      </c>
      <c r="K8" s="3" t="s">
        <v>840</v>
      </c>
      <c r="L8" s="3" t="s">
        <v>196</v>
      </c>
      <c r="M8" s="3" t="s">
        <v>2660</v>
      </c>
      <c r="N8" s="3" t="s">
        <v>795</v>
      </c>
      <c r="O8" s="3" t="s">
        <v>2664</v>
      </c>
      <c r="P8" s="3" t="s">
        <v>2638</v>
      </c>
      <c r="Q8" s="40" t="s">
        <v>908</v>
      </c>
      <c r="R8" s="43" t="s">
        <v>64</v>
      </c>
    </row>
    <row r="9">
      <c r="A9" s="3" t="s">
        <v>2669</v>
      </c>
      <c r="B9" s="3" t="s">
        <v>84</v>
      </c>
      <c r="C9" s="3" t="s">
        <v>617</v>
      </c>
      <c r="D9" s="3" t="s">
        <v>2674</v>
      </c>
      <c r="E9" s="3" t="s">
        <v>2675</v>
      </c>
      <c r="F9" s="3" t="s">
        <v>2676</v>
      </c>
      <c r="G9" s="3" t="s">
        <v>2678</v>
      </c>
      <c r="H9" s="3" t="s">
        <v>788</v>
      </c>
      <c r="I9" s="3" t="s">
        <v>2453</v>
      </c>
      <c r="J9" s="3" t="s">
        <v>791</v>
      </c>
      <c r="K9" s="3" t="s">
        <v>840</v>
      </c>
      <c r="L9" s="3" t="s">
        <v>196</v>
      </c>
      <c r="M9" s="3" t="s">
        <v>2718</v>
      </c>
      <c r="N9" s="3" t="s">
        <v>2720</v>
      </c>
      <c r="O9" s="3" t="s">
        <v>2721</v>
      </c>
      <c r="P9" s="3" t="s">
        <v>2638</v>
      </c>
      <c r="Q9" s="40" t="s">
        <v>908</v>
      </c>
      <c r="R9" s="43" t="s">
        <v>64</v>
      </c>
    </row>
    <row r="10">
      <c r="A10" s="3" t="s">
        <v>2726</v>
      </c>
      <c r="B10" s="3" t="s">
        <v>84</v>
      </c>
      <c r="C10" s="3" t="s">
        <v>617</v>
      </c>
      <c r="D10" s="3" t="s">
        <v>2746</v>
      </c>
      <c r="E10" s="3" t="s">
        <v>2748</v>
      </c>
      <c r="F10" s="3" t="s">
        <v>2750</v>
      </c>
      <c r="G10" s="3" t="s">
        <v>788</v>
      </c>
      <c r="H10" s="3" t="s">
        <v>2754</v>
      </c>
      <c r="I10" s="3" t="s">
        <v>2453</v>
      </c>
      <c r="J10" s="3" t="s">
        <v>2071</v>
      </c>
      <c r="K10" s="3" t="s">
        <v>1422</v>
      </c>
      <c r="L10" s="3" t="s">
        <v>59</v>
      </c>
      <c r="M10" s="3" t="s">
        <v>2763</v>
      </c>
      <c r="N10" s="3" t="s">
        <v>2766</v>
      </c>
      <c r="O10" s="3" t="s">
        <v>2769</v>
      </c>
      <c r="P10" s="3" t="s">
        <v>535</v>
      </c>
      <c r="Q10" s="40" t="s">
        <v>641</v>
      </c>
      <c r="R10" s="43" t="s">
        <v>64</v>
      </c>
    </row>
    <row r="11">
      <c r="A11" s="3" t="s">
        <v>2779</v>
      </c>
      <c r="B11" s="3" t="s">
        <v>84</v>
      </c>
      <c r="C11" s="3" t="s">
        <v>2783</v>
      </c>
      <c r="D11" s="3" t="s">
        <v>2786</v>
      </c>
      <c r="E11" s="3" t="s">
        <v>2789</v>
      </c>
      <c r="F11" s="3" t="s">
        <v>2792</v>
      </c>
      <c r="G11" s="3" t="s">
        <v>788</v>
      </c>
      <c r="H11" s="3" t="s">
        <v>2795</v>
      </c>
      <c r="I11" s="3" t="s">
        <v>2453</v>
      </c>
      <c r="J11" s="3" t="s">
        <v>2470</v>
      </c>
      <c r="K11" s="3" t="s">
        <v>840</v>
      </c>
      <c r="L11" s="3" t="s">
        <v>196</v>
      </c>
      <c r="M11" s="3" t="s">
        <v>2801</v>
      </c>
      <c r="N11" s="3" t="s">
        <v>2804</v>
      </c>
      <c r="O11" s="3" t="s">
        <v>2806</v>
      </c>
      <c r="P11" s="3" t="s">
        <v>2638</v>
      </c>
      <c r="Q11" s="40" t="s">
        <v>908</v>
      </c>
      <c r="R11" s="43" t="s">
        <v>64</v>
      </c>
    </row>
    <row r="12">
      <c r="A12" s="3" t="s">
        <v>2813</v>
      </c>
      <c r="B12" s="3" t="s">
        <v>84</v>
      </c>
      <c r="C12" s="3" t="s">
        <v>2783</v>
      </c>
      <c r="D12" s="3" t="s">
        <v>2816</v>
      </c>
      <c r="E12" s="3" t="s">
        <v>2818</v>
      </c>
      <c r="F12" s="3" t="s">
        <v>2819</v>
      </c>
      <c r="G12" s="3" t="s">
        <v>2820</v>
      </c>
      <c r="H12" s="3" t="s">
        <v>788</v>
      </c>
      <c r="I12" s="3" t="s">
        <v>2822</v>
      </c>
      <c r="J12" s="3" t="s">
        <v>2823</v>
      </c>
      <c r="K12" s="3" t="s">
        <v>840</v>
      </c>
      <c r="L12" s="3" t="s">
        <v>59</v>
      </c>
      <c r="M12" s="3" t="s">
        <v>2825</v>
      </c>
      <c r="N12" s="3" t="s">
        <v>2826</v>
      </c>
      <c r="O12" s="3" t="s">
        <v>2827</v>
      </c>
      <c r="P12" s="3" t="s">
        <v>535</v>
      </c>
      <c r="Q12" s="40" t="s">
        <v>641</v>
      </c>
      <c r="R12" s="43" t="s">
        <v>64</v>
      </c>
    </row>
    <row r="13">
      <c r="A13" s="3" t="s">
        <v>2833</v>
      </c>
      <c r="B13" s="3" t="s">
        <v>84</v>
      </c>
      <c r="C13" s="3" t="s">
        <v>2783</v>
      </c>
      <c r="D13" s="3" t="s">
        <v>2836</v>
      </c>
      <c r="E13" s="3" t="s">
        <v>2838</v>
      </c>
      <c r="F13" s="3" t="s">
        <v>2840</v>
      </c>
      <c r="G13" s="3" t="s">
        <v>2841</v>
      </c>
      <c r="H13" s="3" t="s">
        <v>788</v>
      </c>
      <c r="I13" s="3" t="s">
        <v>2822</v>
      </c>
      <c r="J13" s="3" t="s">
        <v>2844</v>
      </c>
      <c r="K13" s="3" t="s">
        <v>840</v>
      </c>
      <c r="L13" s="3" t="s">
        <v>59</v>
      </c>
      <c r="M13" s="3" t="s">
        <v>2846</v>
      </c>
      <c r="N13" s="3" t="s">
        <v>2848</v>
      </c>
      <c r="O13" s="3" t="s">
        <v>2850</v>
      </c>
      <c r="P13" s="3" t="s">
        <v>535</v>
      </c>
      <c r="Q13" s="40" t="s">
        <v>641</v>
      </c>
      <c r="R13" s="43" t="s">
        <v>64</v>
      </c>
    </row>
    <row r="14">
      <c r="A14" s="3" t="s">
        <v>2855</v>
      </c>
      <c r="B14" s="3" t="s">
        <v>817</v>
      </c>
      <c r="C14" s="3" t="s">
        <v>634</v>
      </c>
      <c r="D14" s="3" t="s">
        <v>2857</v>
      </c>
      <c r="E14" s="3" t="s">
        <v>2859</v>
      </c>
      <c r="F14" s="3" t="s">
        <v>2861</v>
      </c>
      <c r="G14" s="3" t="s">
        <v>2862</v>
      </c>
      <c r="H14" s="3" t="s">
        <v>747</v>
      </c>
      <c r="I14" s="3" t="s">
        <v>2864</v>
      </c>
      <c r="J14" s="3" t="s">
        <v>2865</v>
      </c>
      <c r="K14" s="3" t="s">
        <v>524</v>
      </c>
      <c r="L14" s="3" t="s">
        <v>59</v>
      </c>
      <c r="M14" s="3" t="s">
        <v>2868</v>
      </c>
      <c r="N14" s="3" t="s">
        <v>2870</v>
      </c>
      <c r="O14" s="3" t="s">
        <v>2871</v>
      </c>
      <c r="P14" s="3" t="s">
        <v>2873</v>
      </c>
      <c r="Q14" s="40" t="s">
        <v>934</v>
      </c>
      <c r="R14" s="43" t="s">
        <v>64</v>
      </c>
    </row>
    <row r="15">
      <c r="A15" s="3" t="s">
        <v>2909</v>
      </c>
      <c r="B15" s="3" t="s">
        <v>127</v>
      </c>
      <c r="C15" s="3" t="s">
        <v>634</v>
      </c>
      <c r="D15" s="3" t="s">
        <v>2911</v>
      </c>
      <c r="E15" s="3" t="s">
        <v>2913</v>
      </c>
      <c r="F15" s="3" t="s">
        <v>2915</v>
      </c>
      <c r="G15" s="3" t="s">
        <v>2916</v>
      </c>
      <c r="H15" s="3" t="s">
        <v>562</v>
      </c>
      <c r="I15" s="3" t="s">
        <v>2917</v>
      </c>
      <c r="J15" s="3" t="s">
        <v>2918</v>
      </c>
      <c r="K15" s="3" t="s">
        <v>524</v>
      </c>
      <c r="L15" s="3" t="s">
        <v>59</v>
      </c>
      <c r="M15" s="3" t="s">
        <v>2921</v>
      </c>
      <c r="N15" s="3" t="s">
        <v>2922</v>
      </c>
      <c r="O15" s="3" t="s">
        <v>2923</v>
      </c>
      <c r="P15" s="3" t="s">
        <v>2925</v>
      </c>
      <c r="Q15" s="40" t="s">
        <v>934</v>
      </c>
      <c r="R15" s="43" t="s">
        <v>64</v>
      </c>
    </row>
    <row r="16">
      <c r="A16" s="3" t="s">
        <v>2929</v>
      </c>
      <c r="B16" s="3" t="s">
        <v>817</v>
      </c>
      <c r="C16" s="3" t="s">
        <v>634</v>
      </c>
      <c r="D16" s="3" t="s">
        <v>2934</v>
      </c>
      <c r="E16" s="3" t="s">
        <v>834</v>
      </c>
      <c r="F16" s="3" t="s">
        <v>2938</v>
      </c>
      <c r="G16" s="3" t="s">
        <v>763</v>
      </c>
      <c r="H16" s="3" t="s">
        <v>2943</v>
      </c>
      <c r="I16" s="3" t="s">
        <v>2946</v>
      </c>
      <c r="J16" s="3" t="s">
        <v>838</v>
      </c>
      <c r="K16" s="3" t="s">
        <v>840</v>
      </c>
      <c r="L16" s="3" t="s">
        <v>59</v>
      </c>
      <c r="M16" s="3" t="s">
        <v>2951</v>
      </c>
      <c r="N16" s="3" t="s">
        <v>842</v>
      </c>
      <c r="O16" s="3" t="s">
        <v>2956</v>
      </c>
      <c r="P16" s="3" t="s">
        <v>2638</v>
      </c>
      <c r="Q16" s="40" t="s">
        <v>908</v>
      </c>
      <c r="R16" s="43" t="s">
        <v>64</v>
      </c>
    </row>
    <row r="17">
      <c r="A17" s="3" t="s">
        <v>2960</v>
      </c>
      <c r="B17" s="3" t="s">
        <v>2962</v>
      </c>
      <c r="C17" s="3" t="s">
        <v>634</v>
      </c>
      <c r="D17" s="3" t="s">
        <v>2964</v>
      </c>
      <c r="E17" s="3" t="s">
        <v>2966</v>
      </c>
      <c r="F17" s="3" t="s">
        <v>2968</v>
      </c>
      <c r="G17" s="3" t="s">
        <v>2468</v>
      </c>
      <c r="H17" s="3" t="s">
        <v>2969</v>
      </c>
      <c r="I17" s="3" t="s">
        <v>2971</v>
      </c>
      <c r="J17" s="3" t="s">
        <v>2525</v>
      </c>
      <c r="K17" s="3" t="s">
        <v>840</v>
      </c>
      <c r="L17" s="3" t="s">
        <v>196</v>
      </c>
      <c r="M17" s="3" t="s">
        <v>2978</v>
      </c>
      <c r="N17" s="3" t="s">
        <v>2979</v>
      </c>
      <c r="O17" s="3" t="s">
        <v>2982</v>
      </c>
      <c r="P17" s="3" t="s">
        <v>535</v>
      </c>
      <c r="Q17" s="40" t="s">
        <v>641</v>
      </c>
      <c r="R17" s="43" t="s">
        <v>64</v>
      </c>
    </row>
    <row r="18">
      <c r="A18" s="3" t="s">
        <v>2985</v>
      </c>
      <c r="B18" s="3" t="s">
        <v>84</v>
      </c>
      <c r="C18" s="3" t="s">
        <v>643</v>
      </c>
      <c r="D18" s="3" t="s">
        <v>2986</v>
      </c>
      <c r="E18" s="3" t="s">
        <v>2987</v>
      </c>
      <c r="F18" s="3" t="s">
        <v>2989</v>
      </c>
      <c r="G18" s="3" t="s">
        <v>2991</v>
      </c>
      <c r="H18" s="3" t="s">
        <v>2994</v>
      </c>
      <c r="I18" s="3" t="s">
        <v>2995</v>
      </c>
      <c r="J18" s="3" t="s">
        <v>2997</v>
      </c>
      <c r="K18" s="3" t="s">
        <v>840</v>
      </c>
      <c r="L18" s="3" t="s">
        <v>59</v>
      </c>
      <c r="M18" s="3" t="s">
        <v>3001</v>
      </c>
      <c r="N18" s="3" t="s">
        <v>3002</v>
      </c>
      <c r="O18" s="3" t="s">
        <v>3004</v>
      </c>
      <c r="P18" s="3" t="s">
        <v>2638</v>
      </c>
      <c r="Q18" s="40" t="s">
        <v>908</v>
      </c>
      <c r="R18" s="43" t="s">
        <v>64</v>
      </c>
    </row>
    <row r="19">
      <c r="A19" s="3" t="s">
        <v>3009</v>
      </c>
      <c r="B19" s="3" t="s">
        <v>84</v>
      </c>
      <c r="C19" s="3" t="s">
        <v>643</v>
      </c>
      <c r="D19" s="3" t="s">
        <v>3013</v>
      </c>
      <c r="E19" s="3" t="s">
        <v>3014</v>
      </c>
      <c r="F19" s="3" t="s">
        <v>3015</v>
      </c>
      <c r="G19" s="3" t="s">
        <v>3017</v>
      </c>
      <c r="H19" s="3" t="s">
        <v>788</v>
      </c>
      <c r="I19" s="3" t="s">
        <v>1911</v>
      </c>
      <c r="J19" s="3" t="s">
        <v>3021</v>
      </c>
      <c r="K19" s="3" t="s">
        <v>840</v>
      </c>
      <c r="L19" s="3" t="s">
        <v>59</v>
      </c>
      <c r="M19" s="3" t="s">
        <v>3024</v>
      </c>
      <c r="N19" s="3" t="s">
        <v>3025</v>
      </c>
      <c r="O19" s="3" t="s">
        <v>3026</v>
      </c>
      <c r="P19" s="3" t="s">
        <v>535</v>
      </c>
      <c r="Q19" s="40" t="s">
        <v>641</v>
      </c>
      <c r="R19" s="43" t="s">
        <v>64</v>
      </c>
    </row>
    <row r="20">
      <c r="A20" s="3" t="s">
        <v>3030</v>
      </c>
      <c r="B20" s="3" t="s">
        <v>84</v>
      </c>
      <c r="C20" s="3" t="s">
        <v>651</v>
      </c>
      <c r="D20" s="3" t="s">
        <v>3034</v>
      </c>
      <c r="E20" s="3" t="s">
        <v>3036</v>
      </c>
      <c r="F20" s="3" t="s">
        <v>3038</v>
      </c>
      <c r="G20" s="3" t="s">
        <v>3017</v>
      </c>
      <c r="H20" s="3" t="s">
        <v>788</v>
      </c>
      <c r="I20" s="3" t="s">
        <v>3040</v>
      </c>
      <c r="J20" s="3" t="s">
        <v>3042</v>
      </c>
      <c r="K20" s="3" t="s">
        <v>840</v>
      </c>
      <c r="L20" s="3" t="s">
        <v>59</v>
      </c>
      <c r="M20" s="3" t="s">
        <v>3046</v>
      </c>
      <c r="N20" s="3" t="s">
        <v>876</v>
      </c>
      <c r="O20" s="3" t="s">
        <v>3049</v>
      </c>
      <c r="P20" s="3" t="s">
        <v>2638</v>
      </c>
      <c r="Q20" s="40" t="s">
        <v>908</v>
      </c>
      <c r="R20" s="43" t="s">
        <v>64</v>
      </c>
    </row>
    <row r="21">
      <c r="A21" s="3" t="s">
        <v>3054</v>
      </c>
      <c r="B21" s="3" t="s">
        <v>84</v>
      </c>
      <c r="C21" s="3" t="s">
        <v>651</v>
      </c>
      <c r="D21" s="3" t="s">
        <v>3059</v>
      </c>
      <c r="E21" s="3" t="s">
        <v>3062</v>
      </c>
      <c r="F21" s="3" t="s">
        <v>3065</v>
      </c>
      <c r="G21" s="3" t="s">
        <v>3068</v>
      </c>
      <c r="H21" s="3" t="s">
        <v>788</v>
      </c>
      <c r="I21" s="3" t="s">
        <v>3070</v>
      </c>
      <c r="J21" s="3" t="s">
        <v>3074</v>
      </c>
      <c r="K21" s="3" t="s">
        <v>840</v>
      </c>
      <c r="L21" s="3" t="s">
        <v>196</v>
      </c>
      <c r="M21" s="3" t="s">
        <v>3076</v>
      </c>
      <c r="N21" s="3" t="s">
        <v>3080</v>
      </c>
      <c r="O21" s="3" t="s">
        <v>3082</v>
      </c>
      <c r="P21" s="3" t="s">
        <v>2638</v>
      </c>
      <c r="Q21" s="40" t="s">
        <v>908</v>
      </c>
      <c r="R21" s="43" t="s">
        <v>64</v>
      </c>
    </row>
    <row r="22">
      <c r="A22" s="3" t="s">
        <v>3087</v>
      </c>
      <c r="B22" s="3" t="s">
        <v>84</v>
      </c>
      <c r="C22" s="3" t="s">
        <v>651</v>
      </c>
      <c r="D22" s="3" t="s">
        <v>3091</v>
      </c>
      <c r="E22" s="3" t="s">
        <v>3092</v>
      </c>
      <c r="F22" s="3" t="s">
        <v>3095</v>
      </c>
      <c r="G22" s="3" t="s">
        <v>3068</v>
      </c>
      <c r="H22" s="3" t="s">
        <v>788</v>
      </c>
      <c r="I22" s="3" t="s">
        <v>3099</v>
      </c>
      <c r="J22" s="3" t="s">
        <v>3101</v>
      </c>
      <c r="K22" s="3" t="s">
        <v>1422</v>
      </c>
      <c r="L22" s="3" t="s">
        <v>137</v>
      </c>
      <c r="M22" s="3" t="s">
        <v>3104</v>
      </c>
      <c r="N22" s="3" t="s">
        <v>3106</v>
      </c>
      <c r="O22" s="3" t="s">
        <v>3108</v>
      </c>
      <c r="P22" s="3" t="s">
        <v>2638</v>
      </c>
      <c r="Q22" s="40" t="s">
        <v>908</v>
      </c>
      <c r="R22" s="43" t="s">
        <v>64</v>
      </c>
    </row>
    <row r="23">
      <c r="A23" s="3" t="s">
        <v>3118</v>
      </c>
      <c r="B23" s="3" t="s">
        <v>84</v>
      </c>
      <c r="C23" s="3" t="s">
        <v>654</v>
      </c>
      <c r="D23" s="3" t="s">
        <v>3127</v>
      </c>
      <c r="E23" s="3" t="s">
        <v>3129</v>
      </c>
      <c r="F23" s="3" t="s">
        <v>3133</v>
      </c>
      <c r="G23" s="3" t="s">
        <v>3135</v>
      </c>
      <c r="H23" s="3" t="s">
        <v>788</v>
      </c>
      <c r="I23" s="3" t="s">
        <v>3137</v>
      </c>
      <c r="J23" s="3" t="s">
        <v>3139</v>
      </c>
      <c r="K23" s="3" t="s">
        <v>840</v>
      </c>
      <c r="L23" s="3" t="s">
        <v>196</v>
      </c>
      <c r="M23" s="3" t="s">
        <v>3144</v>
      </c>
      <c r="N23" s="3" t="s">
        <v>3147</v>
      </c>
      <c r="O23" s="3" t="s">
        <v>3149</v>
      </c>
      <c r="P23" s="3" t="s">
        <v>2638</v>
      </c>
      <c r="Q23" s="40" t="s">
        <v>908</v>
      </c>
      <c r="R23" s="43" t="s">
        <v>64</v>
      </c>
    </row>
    <row r="24">
      <c r="A24" s="3" t="s">
        <v>3155</v>
      </c>
      <c r="B24" s="3" t="s">
        <v>84</v>
      </c>
      <c r="C24" s="3" t="s">
        <v>654</v>
      </c>
      <c r="D24" s="3" t="s">
        <v>3158</v>
      </c>
      <c r="E24" s="3" t="s">
        <v>3160</v>
      </c>
      <c r="F24" s="3" t="s">
        <v>3161</v>
      </c>
      <c r="G24" s="3" t="s">
        <v>3135</v>
      </c>
      <c r="H24" s="3" t="s">
        <v>788</v>
      </c>
      <c r="I24" s="3" t="s">
        <v>3165</v>
      </c>
      <c r="J24" s="3" t="s">
        <v>890</v>
      </c>
      <c r="K24" s="3" t="s">
        <v>840</v>
      </c>
      <c r="L24" s="3" t="s">
        <v>59</v>
      </c>
      <c r="M24" s="3" t="s">
        <v>3170</v>
      </c>
      <c r="N24" s="3" t="s">
        <v>3173</v>
      </c>
      <c r="O24" s="3" t="s">
        <v>3174</v>
      </c>
      <c r="P24" s="3" t="s">
        <v>535</v>
      </c>
      <c r="Q24" s="40" t="s">
        <v>641</v>
      </c>
      <c r="R24" s="43" t="s">
        <v>64</v>
      </c>
    </row>
    <row r="25">
      <c r="A25" s="3" t="s">
        <v>3180</v>
      </c>
      <c r="B25" s="3" t="s">
        <v>3183</v>
      </c>
      <c r="C25" s="3" t="s">
        <v>654</v>
      </c>
      <c r="D25" s="3" t="s">
        <v>3184</v>
      </c>
      <c r="E25" s="3" t="s">
        <v>3186</v>
      </c>
      <c r="F25" s="3" t="s">
        <v>3188</v>
      </c>
      <c r="G25" s="3" t="s">
        <v>2468</v>
      </c>
      <c r="H25" s="3" t="s">
        <v>3191</v>
      </c>
      <c r="I25" s="3" t="s">
        <v>3194</v>
      </c>
      <c r="J25" s="3" t="s">
        <v>3196</v>
      </c>
      <c r="K25" s="3" t="s">
        <v>524</v>
      </c>
      <c r="L25" s="3" t="s">
        <v>59</v>
      </c>
      <c r="M25" s="3" t="s">
        <v>3202</v>
      </c>
      <c r="N25" s="3" t="s">
        <v>3205</v>
      </c>
      <c r="O25" s="3" t="s">
        <v>3209</v>
      </c>
      <c r="P25" s="3" t="s">
        <v>3213</v>
      </c>
      <c r="Q25" s="40" t="s">
        <v>959</v>
      </c>
      <c r="R25" s="43" t="s">
        <v>64</v>
      </c>
    </row>
    <row r="26">
      <c r="A26" s="3" t="s">
        <v>3319</v>
      </c>
      <c r="B26" s="3" t="s">
        <v>2000</v>
      </c>
      <c r="C26" s="3" t="s">
        <v>661</v>
      </c>
      <c r="D26" s="3" t="s">
        <v>3323</v>
      </c>
      <c r="E26" s="3" t="s">
        <v>3325</v>
      </c>
      <c r="F26" s="3" t="s">
        <v>3329</v>
      </c>
      <c r="G26" s="3" t="s">
        <v>788</v>
      </c>
      <c r="H26" s="3" t="s">
        <v>789</v>
      </c>
      <c r="I26" s="3" t="s">
        <v>3194</v>
      </c>
      <c r="J26" s="3" t="s">
        <v>3336</v>
      </c>
      <c r="K26" s="3" t="s">
        <v>840</v>
      </c>
      <c r="L26" s="3" t="s">
        <v>59</v>
      </c>
      <c r="M26" s="3" t="s">
        <v>3342</v>
      </c>
      <c r="N26" s="3" t="s">
        <v>910</v>
      </c>
      <c r="O26" s="3" t="s">
        <v>3346</v>
      </c>
      <c r="P26" s="3" t="s">
        <v>2638</v>
      </c>
      <c r="Q26" s="40" t="s">
        <v>908</v>
      </c>
      <c r="R26" s="43" t="s">
        <v>64</v>
      </c>
    </row>
    <row r="27">
      <c r="A27" s="3" t="s">
        <v>3356</v>
      </c>
      <c r="B27" s="3" t="s">
        <v>3359</v>
      </c>
      <c r="C27" s="3" t="s">
        <v>661</v>
      </c>
      <c r="D27" s="3" t="s">
        <v>3362</v>
      </c>
      <c r="E27" s="3" t="s">
        <v>3363</v>
      </c>
      <c r="F27" s="3" t="s">
        <v>3365</v>
      </c>
      <c r="G27" s="3" t="s">
        <v>2468</v>
      </c>
      <c r="H27" s="3" t="s">
        <v>902</v>
      </c>
      <c r="I27" s="3" t="s">
        <v>3370</v>
      </c>
      <c r="J27" s="3" t="s">
        <v>3371</v>
      </c>
      <c r="K27" s="3" t="s">
        <v>840</v>
      </c>
      <c r="L27" s="3" t="s">
        <v>196</v>
      </c>
      <c r="M27" s="3" t="s">
        <v>3375</v>
      </c>
      <c r="N27" s="3" t="s">
        <v>3378</v>
      </c>
      <c r="O27" s="3" t="s">
        <v>3381</v>
      </c>
      <c r="P27" s="3" t="s">
        <v>3383</v>
      </c>
      <c r="Q27" s="40" t="s">
        <v>641</v>
      </c>
      <c r="R27" s="43" t="s">
        <v>64</v>
      </c>
    </row>
    <row r="28">
      <c r="A28" s="3" t="s">
        <v>3389</v>
      </c>
      <c r="B28" s="3" t="s">
        <v>3391</v>
      </c>
      <c r="C28" s="3" t="s">
        <v>678</v>
      </c>
      <c r="D28" s="3" t="s">
        <v>3394</v>
      </c>
      <c r="E28" s="3" t="s">
        <v>3396</v>
      </c>
      <c r="F28" s="3" t="s">
        <v>3398</v>
      </c>
      <c r="G28" s="3" t="s">
        <v>562</v>
      </c>
      <c r="H28" s="3" t="s">
        <v>562</v>
      </c>
      <c r="I28" s="3" t="s">
        <v>3412</v>
      </c>
      <c r="J28" s="3" t="s">
        <v>3413</v>
      </c>
      <c r="K28" s="3" t="s">
        <v>524</v>
      </c>
      <c r="L28" s="3" t="s">
        <v>59</v>
      </c>
      <c r="M28" s="3" t="s">
        <v>3421</v>
      </c>
      <c r="N28" s="3" t="s">
        <v>3424</v>
      </c>
      <c r="O28" s="3" t="s">
        <v>3428</v>
      </c>
      <c r="P28" s="3" t="s">
        <v>2925</v>
      </c>
      <c r="Q28" s="40" t="s">
        <v>934</v>
      </c>
      <c r="R28" s="43" t="s">
        <v>64</v>
      </c>
    </row>
    <row r="29">
      <c r="A29" s="3" t="s">
        <v>3439</v>
      </c>
      <c r="B29" s="3" t="s">
        <v>3442</v>
      </c>
      <c r="C29" s="3" t="s">
        <v>678</v>
      </c>
      <c r="D29" s="3" t="s">
        <v>3445</v>
      </c>
      <c r="E29" s="3" t="s">
        <v>3446</v>
      </c>
      <c r="F29" s="3" t="s">
        <v>3450</v>
      </c>
      <c r="G29" s="3" t="s">
        <v>562</v>
      </c>
      <c r="H29" s="3" t="s">
        <v>562</v>
      </c>
      <c r="I29" s="3" t="s">
        <v>3454</v>
      </c>
      <c r="J29" s="3" t="s">
        <v>3455</v>
      </c>
      <c r="K29" s="3" t="s">
        <v>524</v>
      </c>
      <c r="L29" s="3" t="s">
        <v>59</v>
      </c>
      <c r="M29" s="3" t="s">
        <v>3459</v>
      </c>
      <c r="N29" s="3" t="s">
        <v>3462</v>
      </c>
      <c r="O29" s="3" t="s">
        <v>3465</v>
      </c>
      <c r="P29" s="3" t="s">
        <v>3467</v>
      </c>
      <c r="Q29" s="40" t="s">
        <v>959</v>
      </c>
      <c r="R29" s="43" t="s">
        <v>64</v>
      </c>
    </row>
    <row r="30">
      <c r="A30" s="3" t="s">
        <v>3477</v>
      </c>
      <c r="B30" s="3" t="s">
        <v>3479</v>
      </c>
      <c r="C30" s="3" t="s">
        <v>3480</v>
      </c>
      <c r="D30" s="3" t="s">
        <v>3482</v>
      </c>
      <c r="E30" s="3" t="s">
        <v>3483</v>
      </c>
      <c r="F30" s="3" t="s">
        <v>3485</v>
      </c>
      <c r="G30" s="3" t="s">
        <v>3489</v>
      </c>
      <c r="H30" s="3" t="s">
        <v>3491</v>
      </c>
      <c r="I30" s="3" t="s">
        <v>3479</v>
      </c>
      <c r="J30" s="3" t="s">
        <v>2071</v>
      </c>
      <c r="K30" s="3" t="s">
        <v>1422</v>
      </c>
      <c r="L30" s="3" t="s">
        <v>196</v>
      </c>
      <c r="M30" s="3" t="s">
        <v>3499</v>
      </c>
      <c r="N30" s="3" t="s">
        <v>3511</v>
      </c>
      <c r="O30" s="3" t="s">
        <v>3513</v>
      </c>
      <c r="P30" s="3" t="s">
        <v>2638</v>
      </c>
      <c r="Q30" s="40" t="s">
        <v>908</v>
      </c>
      <c r="R30" s="43" t="s">
        <v>64</v>
      </c>
    </row>
    <row r="31">
      <c r="A31" s="3" t="s">
        <v>3521</v>
      </c>
      <c r="B31" s="3" t="s">
        <v>3479</v>
      </c>
      <c r="C31" s="3" t="s">
        <v>3480</v>
      </c>
      <c r="D31" s="3" t="s">
        <v>3525</v>
      </c>
      <c r="E31" s="3" t="s">
        <v>3528</v>
      </c>
      <c r="F31" s="3" t="s">
        <v>3530</v>
      </c>
      <c r="G31" s="3" t="s">
        <v>3531</v>
      </c>
      <c r="H31" s="3" t="s">
        <v>562</v>
      </c>
      <c r="I31" s="3" t="s">
        <v>3535</v>
      </c>
      <c r="J31" s="3" t="s">
        <v>3538</v>
      </c>
      <c r="K31" s="3" t="s">
        <v>1422</v>
      </c>
      <c r="L31" s="3" t="s">
        <v>196</v>
      </c>
      <c r="M31" s="3" t="s">
        <v>3542</v>
      </c>
      <c r="N31" s="3" t="s">
        <v>3544</v>
      </c>
      <c r="O31" s="3" t="s">
        <v>3546</v>
      </c>
      <c r="P31" s="3" t="s">
        <v>3383</v>
      </c>
      <c r="Q31" s="40" t="s">
        <v>668</v>
      </c>
      <c r="R31" s="43" t="s">
        <v>64</v>
      </c>
    </row>
    <row r="32">
      <c r="A32" s="3" t="s">
        <v>3594</v>
      </c>
      <c r="B32" s="3" t="s">
        <v>3595</v>
      </c>
      <c r="C32" s="3" t="s">
        <v>678</v>
      </c>
      <c r="D32" s="3" t="s">
        <v>3597</v>
      </c>
      <c r="E32" s="3" t="s">
        <v>3600</v>
      </c>
      <c r="F32" s="3" t="s">
        <v>3603</v>
      </c>
      <c r="G32" s="3" t="s">
        <v>3604</v>
      </c>
      <c r="H32" s="3" t="s">
        <v>3606</v>
      </c>
      <c r="I32" s="3" t="s">
        <v>3608</v>
      </c>
      <c r="J32" s="3" t="s">
        <v>967</v>
      </c>
      <c r="K32" s="3" t="s">
        <v>1422</v>
      </c>
      <c r="L32" s="3" t="s">
        <v>196</v>
      </c>
      <c r="M32" s="3" t="s">
        <v>3612</v>
      </c>
      <c r="N32" s="3" t="s">
        <v>3615</v>
      </c>
      <c r="O32" s="3" t="s">
        <v>3617</v>
      </c>
      <c r="P32" s="3" t="s">
        <v>3383</v>
      </c>
      <c r="Q32" s="40" t="s">
        <v>641</v>
      </c>
      <c r="R32" s="43" t="s">
        <v>64</v>
      </c>
    </row>
    <row r="33">
      <c r="A33" s="3" t="s">
        <v>3622</v>
      </c>
      <c r="B33" s="3" t="s">
        <v>1050</v>
      </c>
      <c r="C33" s="3" t="s">
        <v>681</v>
      </c>
      <c r="D33" s="3" t="s">
        <v>3623</v>
      </c>
      <c r="E33" s="3" t="s">
        <v>3624</v>
      </c>
      <c r="F33" s="3" t="s">
        <v>3625</v>
      </c>
      <c r="G33" s="3" t="s">
        <v>3627</v>
      </c>
      <c r="H33" s="3" t="s">
        <v>1056</v>
      </c>
      <c r="I33" s="3" t="s">
        <v>2707</v>
      </c>
      <c r="J33" s="3" t="s">
        <v>1058</v>
      </c>
      <c r="K33" s="3" t="s">
        <v>187</v>
      </c>
      <c r="L33" s="3" t="s">
        <v>137</v>
      </c>
      <c r="M33" s="3" t="s">
        <v>3630</v>
      </c>
      <c r="N33" s="3" t="s">
        <v>3631</v>
      </c>
      <c r="O33" s="3" t="s">
        <v>3632</v>
      </c>
      <c r="P33" s="3" t="s">
        <v>3634</v>
      </c>
      <c r="Q33" s="40" t="s">
        <v>676</v>
      </c>
      <c r="R33" s="43" t="s">
        <v>64</v>
      </c>
    </row>
  </sheetData>
  <autoFilter ref="$A$1:$R$33"/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</hyperlinks>
  <drawing r:id="rId3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3" width="25.13"/>
    <col customWidth="1" min="4" max="5" width="37.63"/>
    <col customWidth="1" min="6" max="8" width="18.25"/>
    <col customWidth="1" min="9" max="10" width="27.63"/>
    <col customWidth="1" min="11" max="12" width="35.13"/>
    <col customWidth="1" min="13" max="13" width="18.88"/>
  </cols>
  <sheetData>
    <row r="1">
      <c r="A1" s="42" t="s">
        <v>1101</v>
      </c>
      <c r="B1" s="42" t="s">
        <v>1105</v>
      </c>
      <c r="C1" s="42" t="s">
        <v>1108</v>
      </c>
      <c r="D1" s="42" t="s">
        <v>207</v>
      </c>
      <c r="E1" s="42" t="s">
        <v>1110</v>
      </c>
      <c r="F1" s="42" t="s">
        <v>1112</v>
      </c>
      <c r="G1" s="42" t="s">
        <v>1113</v>
      </c>
      <c r="H1" s="42" t="s">
        <v>1114</v>
      </c>
      <c r="I1" s="42" t="s">
        <v>1116</v>
      </c>
      <c r="J1" s="42" t="s">
        <v>1117</v>
      </c>
      <c r="K1" s="42" t="s">
        <v>1118</v>
      </c>
      <c r="L1" s="42" t="s">
        <v>1120</v>
      </c>
      <c r="M1" s="42" t="s">
        <v>1121</v>
      </c>
    </row>
    <row r="2">
      <c r="A2" s="3" t="s">
        <v>2550</v>
      </c>
      <c r="B2" s="3" t="s">
        <v>2553</v>
      </c>
      <c r="C2" s="3" t="s">
        <v>1126</v>
      </c>
      <c r="D2" s="3" t="s">
        <v>2556</v>
      </c>
      <c r="E2" s="3" t="s">
        <v>2558</v>
      </c>
      <c r="F2" s="3" t="s">
        <v>1130</v>
      </c>
      <c r="G2" s="3" t="s">
        <v>1130</v>
      </c>
      <c r="H2" s="3" t="s">
        <v>1132</v>
      </c>
      <c r="I2" s="3" t="s">
        <v>2561</v>
      </c>
      <c r="J2" s="3" t="s">
        <v>2562</v>
      </c>
      <c r="K2" s="3" t="s">
        <v>2563</v>
      </c>
      <c r="L2" s="3" t="s">
        <v>1738</v>
      </c>
      <c r="M2" s="43" t="s">
        <v>1137</v>
      </c>
    </row>
    <row r="3">
      <c r="A3" s="3" t="s">
        <v>2571</v>
      </c>
      <c r="B3" s="3" t="s">
        <v>2574</v>
      </c>
      <c r="C3" s="3" t="s">
        <v>1141</v>
      </c>
      <c r="D3" s="3" t="s">
        <v>2576</v>
      </c>
      <c r="E3" s="3" t="s">
        <v>2578</v>
      </c>
      <c r="F3" s="3" t="s">
        <v>2580</v>
      </c>
      <c r="G3" s="3" t="s">
        <v>2581</v>
      </c>
      <c r="H3" s="3" t="s">
        <v>1146</v>
      </c>
      <c r="I3" s="3" t="s">
        <v>2583</v>
      </c>
      <c r="J3" s="3" t="s">
        <v>2585</v>
      </c>
      <c r="K3" s="3" t="s">
        <v>2587</v>
      </c>
      <c r="L3" s="3" t="s">
        <v>2588</v>
      </c>
      <c r="M3" s="43" t="s">
        <v>1137</v>
      </c>
    </row>
    <row r="4">
      <c r="A4" s="3" t="s">
        <v>2589</v>
      </c>
      <c r="B4" s="3" t="s">
        <v>2591</v>
      </c>
      <c r="C4" s="3" t="s">
        <v>1535</v>
      </c>
      <c r="D4" s="3" t="s">
        <v>2592</v>
      </c>
      <c r="E4" s="3" t="s">
        <v>2595</v>
      </c>
      <c r="F4" s="3" t="s">
        <v>2597</v>
      </c>
      <c r="G4" s="3" t="s">
        <v>2600</v>
      </c>
      <c r="H4" s="3" t="s">
        <v>1146</v>
      </c>
      <c r="I4" s="3" t="s">
        <v>2602</v>
      </c>
      <c r="J4" s="3" t="s">
        <v>2604</v>
      </c>
      <c r="K4" s="3" t="s">
        <v>2607</v>
      </c>
      <c r="L4" s="3" t="s">
        <v>2609</v>
      </c>
      <c r="M4" s="43" t="s">
        <v>1137</v>
      </c>
    </row>
    <row r="5">
      <c r="A5" s="3" t="s">
        <v>2615</v>
      </c>
      <c r="B5" s="3" t="s">
        <v>2618</v>
      </c>
      <c r="C5" s="3" t="s">
        <v>1126</v>
      </c>
      <c r="D5" s="3" t="s">
        <v>2622</v>
      </c>
      <c r="E5" s="3" t="s">
        <v>2624</v>
      </c>
      <c r="F5" s="3" t="s">
        <v>1130</v>
      </c>
      <c r="G5" s="3" t="s">
        <v>1130</v>
      </c>
      <c r="H5" s="3" t="s">
        <v>1289</v>
      </c>
      <c r="I5" s="3" t="s">
        <v>2631</v>
      </c>
      <c r="J5" s="3" t="s">
        <v>2634</v>
      </c>
      <c r="K5" s="3" t="s">
        <v>2637</v>
      </c>
      <c r="L5" s="3" t="s">
        <v>1293</v>
      </c>
      <c r="M5" s="43" t="s">
        <v>1137</v>
      </c>
    </row>
    <row r="6">
      <c r="A6" s="3" t="s">
        <v>2641</v>
      </c>
      <c r="B6" s="3" t="s">
        <v>2642</v>
      </c>
      <c r="C6" s="3" t="s">
        <v>2644</v>
      </c>
      <c r="D6" s="3" t="s">
        <v>2645</v>
      </c>
      <c r="E6" s="3" t="s">
        <v>2647</v>
      </c>
      <c r="F6" s="3" t="s">
        <v>2650</v>
      </c>
      <c r="G6" s="3" t="s">
        <v>2652</v>
      </c>
      <c r="H6" s="3" t="s">
        <v>1146</v>
      </c>
      <c r="I6" s="3" t="s">
        <v>2654</v>
      </c>
      <c r="J6" s="3" t="s">
        <v>2655</v>
      </c>
      <c r="K6" s="3" t="s">
        <v>2657</v>
      </c>
      <c r="L6" s="3" t="s">
        <v>2659</v>
      </c>
      <c r="M6" s="43" t="s">
        <v>1137</v>
      </c>
    </row>
    <row r="7">
      <c r="A7" s="3" t="s">
        <v>2662</v>
      </c>
      <c r="B7" s="3" t="s">
        <v>2665</v>
      </c>
      <c r="C7" s="3" t="s">
        <v>1267</v>
      </c>
      <c r="D7" s="3" t="s">
        <v>2668</v>
      </c>
      <c r="E7" s="3" t="s">
        <v>2670</v>
      </c>
      <c r="F7" s="3" t="s">
        <v>2672</v>
      </c>
      <c r="G7" s="3" t="s">
        <v>1271</v>
      </c>
      <c r="H7" s="3" t="s">
        <v>1146</v>
      </c>
      <c r="I7" s="3" t="s">
        <v>1272</v>
      </c>
      <c r="J7" s="3" t="s">
        <v>1273</v>
      </c>
      <c r="K7" s="3" t="s">
        <v>2680</v>
      </c>
      <c r="L7" s="3" t="s">
        <v>2683</v>
      </c>
      <c r="M7" s="43" t="s">
        <v>1137</v>
      </c>
    </row>
    <row r="8">
      <c r="A8" s="3" t="s">
        <v>2686</v>
      </c>
      <c r="B8" s="3" t="s">
        <v>1277</v>
      </c>
      <c r="C8" s="3" t="s">
        <v>1184</v>
      </c>
      <c r="D8" s="3" t="s">
        <v>2690</v>
      </c>
      <c r="E8" s="3" t="s">
        <v>2692</v>
      </c>
      <c r="F8" s="3" t="s">
        <v>1280</v>
      </c>
      <c r="G8" s="3" t="s">
        <v>2697</v>
      </c>
      <c r="H8" s="3" t="s">
        <v>1146</v>
      </c>
      <c r="I8" s="3" t="s">
        <v>2701</v>
      </c>
      <c r="J8" s="3" t="s">
        <v>1282</v>
      </c>
      <c r="K8" s="3" t="s">
        <v>2705</v>
      </c>
      <c r="L8" s="3" t="s">
        <v>2708</v>
      </c>
      <c r="M8" s="43" t="s">
        <v>1137</v>
      </c>
    </row>
    <row r="9">
      <c r="A9" s="3" t="s">
        <v>2711</v>
      </c>
      <c r="B9" s="3" t="s">
        <v>2712</v>
      </c>
      <c r="C9" s="3" t="s">
        <v>2714</v>
      </c>
      <c r="D9" s="3" t="s">
        <v>2715</v>
      </c>
      <c r="E9" s="3" t="s">
        <v>2724</v>
      </c>
      <c r="F9" s="3" t="s">
        <v>2725</v>
      </c>
      <c r="G9" s="3" t="s">
        <v>2728</v>
      </c>
      <c r="H9" s="3" t="s">
        <v>1146</v>
      </c>
      <c r="I9" s="3" t="s">
        <v>2732</v>
      </c>
      <c r="J9" s="3" t="s">
        <v>2735</v>
      </c>
      <c r="K9" s="3" t="s">
        <v>2736</v>
      </c>
      <c r="L9" s="3" t="s">
        <v>1341</v>
      </c>
      <c r="M9" s="43" t="s">
        <v>1137</v>
      </c>
    </row>
    <row r="10">
      <c r="A10" s="3" t="s">
        <v>2740</v>
      </c>
      <c r="B10" s="3" t="s">
        <v>2742</v>
      </c>
      <c r="C10" s="3" t="s">
        <v>1544</v>
      </c>
      <c r="D10" s="3" t="s">
        <v>2745</v>
      </c>
      <c r="E10" s="3" t="s">
        <v>2747</v>
      </c>
      <c r="F10" s="3" t="s">
        <v>2749</v>
      </c>
      <c r="G10" s="3" t="s">
        <v>2752</v>
      </c>
      <c r="H10" s="3" t="s">
        <v>1146</v>
      </c>
      <c r="I10" s="3" t="s">
        <v>2756</v>
      </c>
      <c r="J10" s="3" t="s">
        <v>2758</v>
      </c>
      <c r="K10" s="3" t="s">
        <v>2759</v>
      </c>
      <c r="L10" s="3" t="s">
        <v>2761</v>
      </c>
      <c r="M10" s="43" t="s">
        <v>1137</v>
      </c>
    </row>
    <row r="11">
      <c r="A11" s="3" t="s">
        <v>2765</v>
      </c>
      <c r="B11" s="3" t="s">
        <v>2768</v>
      </c>
      <c r="C11" s="3" t="s">
        <v>2771</v>
      </c>
      <c r="D11" s="3" t="s">
        <v>2772</v>
      </c>
      <c r="E11" s="3" t="s">
        <v>2774</v>
      </c>
      <c r="F11" s="3" t="s">
        <v>2776</v>
      </c>
      <c r="G11" s="3" t="s">
        <v>2778</v>
      </c>
      <c r="H11" s="3" t="s">
        <v>1146</v>
      </c>
      <c r="I11" s="3" t="s">
        <v>2781</v>
      </c>
      <c r="J11" s="3" t="s">
        <v>2784</v>
      </c>
      <c r="K11" s="3" t="s">
        <v>2787</v>
      </c>
      <c r="L11" s="3" t="s">
        <v>2790</v>
      </c>
      <c r="M11" s="43" t="s">
        <v>1137</v>
      </c>
    </row>
    <row r="12">
      <c r="A12" s="3" t="s">
        <v>2794</v>
      </c>
      <c r="B12" s="3" t="s">
        <v>2797</v>
      </c>
      <c r="C12" s="3" t="s">
        <v>1312</v>
      </c>
      <c r="D12" s="3" t="s">
        <v>2798</v>
      </c>
      <c r="E12" s="3" t="s">
        <v>2799</v>
      </c>
      <c r="F12" s="3" t="s">
        <v>2802</v>
      </c>
      <c r="G12" s="3" t="s">
        <v>2805</v>
      </c>
      <c r="H12" s="3" t="s">
        <v>1146</v>
      </c>
      <c r="I12" s="3" t="s">
        <v>1319</v>
      </c>
      <c r="J12" s="3" t="s">
        <v>2808</v>
      </c>
      <c r="K12" s="3" t="s">
        <v>2810</v>
      </c>
      <c r="L12" s="3" t="s">
        <v>2812</v>
      </c>
      <c r="M12" s="43" t="s">
        <v>1137</v>
      </c>
    </row>
    <row r="13">
      <c r="A13" s="3" t="s">
        <v>2824</v>
      </c>
      <c r="B13" s="3" t="s">
        <v>1310</v>
      </c>
      <c r="C13" s="3" t="s">
        <v>2828</v>
      </c>
      <c r="D13" s="3" t="s">
        <v>2829</v>
      </c>
      <c r="E13" s="3" t="s">
        <v>2830</v>
      </c>
      <c r="F13" s="3" t="s">
        <v>2831</v>
      </c>
      <c r="G13" s="3" t="s">
        <v>2832</v>
      </c>
      <c r="H13" s="3" t="s">
        <v>1146</v>
      </c>
      <c r="I13" s="3" t="s">
        <v>2834</v>
      </c>
      <c r="J13" s="3" t="s">
        <v>2835</v>
      </c>
      <c r="K13" s="3" t="s">
        <v>2837</v>
      </c>
      <c r="L13" s="3" t="s">
        <v>2839</v>
      </c>
      <c r="M13" s="43" t="s">
        <v>1137</v>
      </c>
    </row>
    <row r="14">
      <c r="A14" s="3" t="s">
        <v>2842</v>
      </c>
      <c r="B14" s="3" t="s">
        <v>2843</v>
      </c>
      <c r="C14" s="3" t="s">
        <v>1571</v>
      </c>
      <c r="D14" s="3" t="s">
        <v>2845</v>
      </c>
      <c r="E14" s="3" t="s">
        <v>2847</v>
      </c>
      <c r="F14" s="3" t="s">
        <v>2849</v>
      </c>
      <c r="G14" s="3" t="s">
        <v>2851</v>
      </c>
      <c r="H14" s="3" t="s">
        <v>1146</v>
      </c>
      <c r="I14" s="3" t="s">
        <v>2852</v>
      </c>
      <c r="J14" s="3" t="s">
        <v>2853</v>
      </c>
      <c r="K14" s="3" t="s">
        <v>2854</v>
      </c>
      <c r="L14" s="3" t="s">
        <v>2856</v>
      </c>
      <c r="M14" s="43" t="s">
        <v>1137</v>
      </c>
    </row>
    <row r="15">
      <c r="A15" s="3" t="s">
        <v>2858</v>
      </c>
      <c r="B15" s="3" t="s">
        <v>2860</v>
      </c>
      <c r="C15" s="3" t="s">
        <v>1184</v>
      </c>
      <c r="D15" s="3" t="s">
        <v>2863</v>
      </c>
      <c r="E15" s="3" t="s">
        <v>2866</v>
      </c>
      <c r="F15" s="3" t="s">
        <v>2867</v>
      </c>
      <c r="G15" s="3" t="s">
        <v>2869</v>
      </c>
      <c r="H15" s="3" t="s">
        <v>1146</v>
      </c>
      <c r="I15" s="3" t="s">
        <v>2872</v>
      </c>
      <c r="J15" s="3" t="s">
        <v>2875</v>
      </c>
      <c r="K15" s="3" t="s">
        <v>2876</v>
      </c>
      <c r="L15" s="3" t="s">
        <v>2877</v>
      </c>
      <c r="M15" s="43" t="s">
        <v>1137</v>
      </c>
    </row>
    <row r="16">
      <c r="A16" s="3" t="s">
        <v>2880</v>
      </c>
      <c r="B16" s="3" t="s">
        <v>2882</v>
      </c>
      <c r="C16" s="3" t="s">
        <v>2884</v>
      </c>
      <c r="D16" s="3" t="s">
        <v>2886</v>
      </c>
      <c r="E16" s="3" t="s">
        <v>2888</v>
      </c>
      <c r="F16" s="3" t="s">
        <v>2890</v>
      </c>
      <c r="G16" s="3" t="s">
        <v>2891</v>
      </c>
      <c r="H16" s="3" t="s">
        <v>1146</v>
      </c>
      <c r="I16" s="3" t="s">
        <v>2756</v>
      </c>
      <c r="J16" s="3" t="s">
        <v>2893</v>
      </c>
      <c r="K16" s="3" t="s">
        <v>2894</v>
      </c>
      <c r="L16" s="3" t="s">
        <v>2895</v>
      </c>
      <c r="M16" s="43" t="s">
        <v>1137</v>
      </c>
    </row>
    <row r="17">
      <c r="A17" s="3" t="s">
        <v>2896</v>
      </c>
      <c r="B17" s="3" t="s">
        <v>2897</v>
      </c>
      <c r="C17" s="3" t="s">
        <v>1126</v>
      </c>
      <c r="D17" s="3" t="s">
        <v>2898</v>
      </c>
      <c r="E17" s="3" t="s">
        <v>2899</v>
      </c>
      <c r="F17" s="3" t="s">
        <v>1130</v>
      </c>
      <c r="G17" s="3" t="s">
        <v>1130</v>
      </c>
      <c r="H17" s="3" t="s">
        <v>1241</v>
      </c>
      <c r="I17" s="3" t="s">
        <v>2900</v>
      </c>
      <c r="J17" s="3" t="s">
        <v>2901</v>
      </c>
      <c r="K17" s="3" t="s">
        <v>2902</v>
      </c>
      <c r="L17" s="3" t="s">
        <v>1293</v>
      </c>
      <c r="M17" s="43" t="s">
        <v>1137</v>
      </c>
    </row>
    <row r="18">
      <c r="A18" s="3" t="s">
        <v>2903</v>
      </c>
      <c r="B18" s="3" t="s">
        <v>2904</v>
      </c>
      <c r="C18" s="3" t="s">
        <v>1412</v>
      </c>
      <c r="D18" s="3" t="s">
        <v>2905</v>
      </c>
      <c r="E18" s="3" t="s">
        <v>2906</v>
      </c>
      <c r="F18" s="3" t="s">
        <v>2907</v>
      </c>
      <c r="G18" s="3" t="s">
        <v>2908</v>
      </c>
      <c r="H18" s="3" t="s">
        <v>1146</v>
      </c>
      <c r="I18" s="3" t="s">
        <v>2910</v>
      </c>
      <c r="J18" s="3" t="s">
        <v>2912</v>
      </c>
      <c r="K18" s="3" t="s">
        <v>2914</v>
      </c>
      <c r="L18" s="3" t="s">
        <v>1341</v>
      </c>
      <c r="M18" s="43" t="s">
        <v>1137</v>
      </c>
    </row>
    <row r="19">
      <c r="A19" s="3" t="s">
        <v>2919</v>
      </c>
      <c r="B19" s="3" t="s">
        <v>2920</v>
      </c>
      <c r="C19" s="3" t="s">
        <v>1219</v>
      </c>
      <c r="D19" s="3" t="s">
        <v>2924</v>
      </c>
      <c r="E19" s="3" t="s">
        <v>2926</v>
      </c>
      <c r="F19" s="3" t="s">
        <v>2927</v>
      </c>
      <c r="G19" s="3" t="s">
        <v>2928</v>
      </c>
      <c r="H19" s="3" t="s">
        <v>1146</v>
      </c>
      <c r="I19" s="3" t="s">
        <v>2930</v>
      </c>
      <c r="J19" s="3" t="s">
        <v>2931</v>
      </c>
      <c r="K19" s="3" t="s">
        <v>2932</v>
      </c>
      <c r="L19" s="3" t="s">
        <v>2933</v>
      </c>
      <c r="M19" s="43" t="s">
        <v>1137</v>
      </c>
    </row>
    <row r="20">
      <c r="A20" s="3" t="s">
        <v>2936</v>
      </c>
      <c r="B20" s="3" t="s">
        <v>2939</v>
      </c>
      <c r="C20" s="3" t="s">
        <v>2941</v>
      </c>
      <c r="D20" s="3" t="s">
        <v>2944</v>
      </c>
      <c r="E20" s="3" t="s">
        <v>2947</v>
      </c>
      <c r="F20" s="3" t="s">
        <v>2776</v>
      </c>
      <c r="G20" s="3" t="s">
        <v>2949</v>
      </c>
      <c r="H20" s="3" t="s">
        <v>1146</v>
      </c>
      <c r="I20" s="3" t="s">
        <v>2952</v>
      </c>
      <c r="J20" s="3" t="s">
        <v>2954</v>
      </c>
      <c r="K20" s="3" t="s">
        <v>2957</v>
      </c>
      <c r="L20" s="3" t="s">
        <v>1341</v>
      </c>
      <c r="M20" s="43" t="s">
        <v>1137</v>
      </c>
    </row>
    <row r="21">
      <c r="A21" s="3" t="s">
        <v>2959</v>
      </c>
      <c r="B21" s="3" t="s">
        <v>1324</v>
      </c>
      <c r="C21" s="3" t="s">
        <v>1126</v>
      </c>
      <c r="D21" s="3" t="s">
        <v>2965</v>
      </c>
      <c r="E21" s="3" t="s">
        <v>2967</v>
      </c>
      <c r="F21" s="3" t="s">
        <v>1130</v>
      </c>
      <c r="G21" s="3" t="s">
        <v>1130</v>
      </c>
      <c r="H21" s="3" t="s">
        <v>1327</v>
      </c>
      <c r="I21" s="3" t="s">
        <v>2900</v>
      </c>
      <c r="J21" s="3" t="s">
        <v>2973</v>
      </c>
      <c r="K21" s="3" t="s">
        <v>2975</v>
      </c>
      <c r="L21" s="3" t="s">
        <v>1293</v>
      </c>
      <c r="M21" s="43" t="s">
        <v>1137</v>
      </c>
    </row>
    <row r="22">
      <c r="A22" s="3" t="s">
        <v>2981</v>
      </c>
      <c r="B22" s="3" t="s">
        <v>1332</v>
      </c>
      <c r="C22" s="3" t="s">
        <v>1333</v>
      </c>
      <c r="D22" s="3" t="s">
        <v>2984</v>
      </c>
      <c r="E22" s="3" t="s">
        <v>1335</v>
      </c>
      <c r="F22" s="3" t="s">
        <v>1336</v>
      </c>
      <c r="G22" s="3" t="s">
        <v>1337</v>
      </c>
      <c r="H22" s="3" t="s">
        <v>1146</v>
      </c>
      <c r="I22" s="3" t="s">
        <v>1338</v>
      </c>
      <c r="J22" s="3" t="s">
        <v>2990</v>
      </c>
      <c r="K22" s="3" t="s">
        <v>2993</v>
      </c>
      <c r="L22" s="3" t="s">
        <v>1341</v>
      </c>
      <c r="M22" s="43" t="s">
        <v>1137</v>
      </c>
    </row>
    <row r="23">
      <c r="A23" s="3" t="s">
        <v>2999</v>
      </c>
      <c r="B23" s="3" t="s">
        <v>1295</v>
      </c>
      <c r="C23" s="3" t="s">
        <v>1126</v>
      </c>
      <c r="D23" s="3" t="s">
        <v>3005</v>
      </c>
      <c r="E23" s="3" t="s">
        <v>3007</v>
      </c>
      <c r="F23" s="3" t="s">
        <v>1130</v>
      </c>
      <c r="G23" s="3" t="s">
        <v>1130</v>
      </c>
      <c r="H23" s="3" t="s">
        <v>1289</v>
      </c>
      <c r="I23" s="3" t="s">
        <v>3010</v>
      </c>
      <c r="J23" s="3" t="s">
        <v>3011</v>
      </c>
      <c r="K23" s="3" t="s">
        <v>3012</v>
      </c>
      <c r="L23" s="3" t="s">
        <v>1738</v>
      </c>
      <c r="M23" s="43" t="s">
        <v>1137</v>
      </c>
    </row>
    <row r="24">
      <c r="A24" s="3" t="s">
        <v>3016</v>
      </c>
      <c r="B24" s="3" t="s">
        <v>3018</v>
      </c>
      <c r="C24" s="3" t="s">
        <v>3019</v>
      </c>
      <c r="D24" s="3" t="s">
        <v>3020</v>
      </c>
      <c r="E24" s="3" t="s">
        <v>3022</v>
      </c>
      <c r="F24" s="3" t="s">
        <v>2778</v>
      </c>
      <c r="G24" s="3" t="s">
        <v>3023</v>
      </c>
      <c r="H24" s="3" t="s">
        <v>1146</v>
      </c>
      <c r="I24" s="3" t="s">
        <v>2756</v>
      </c>
      <c r="J24" s="3" t="s">
        <v>3027</v>
      </c>
      <c r="K24" s="3" t="s">
        <v>3028</v>
      </c>
      <c r="L24" s="3" t="s">
        <v>3029</v>
      </c>
      <c r="M24" s="43" t="s">
        <v>1137</v>
      </c>
    </row>
    <row r="25">
      <c r="A25" s="3" t="s">
        <v>3031</v>
      </c>
      <c r="B25" s="3" t="s">
        <v>3032</v>
      </c>
      <c r="C25" s="3" t="s">
        <v>3033</v>
      </c>
      <c r="D25" s="3" t="s">
        <v>3035</v>
      </c>
      <c r="E25" s="3" t="s">
        <v>3037</v>
      </c>
      <c r="F25" s="3" t="s">
        <v>1130</v>
      </c>
      <c r="G25" s="3" t="s">
        <v>1130</v>
      </c>
      <c r="H25" s="3" t="s">
        <v>3039</v>
      </c>
      <c r="I25" s="3" t="s">
        <v>3041</v>
      </c>
      <c r="J25" s="3" t="s">
        <v>3043</v>
      </c>
      <c r="K25" s="3" t="s">
        <v>3044</v>
      </c>
      <c r="L25" s="3" t="s">
        <v>3045</v>
      </c>
      <c r="M25" s="43" t="s">
        <v>3047</v>
      </c>
    </row>
    <row r="26">
      <c r="A26" s="3" t="s">
        <v>3048</v>
      </c>
      <c r="B26" s="3" t="s">
        <v>3050</v>
      </c>
      <c r="C26" s="3" t="s">
        <v>1219</v>
      </c>
      <c r="D26" s="3" t="s">
        <v>3051</v>
      </c>
      <c r="E26" s="3" t="s">
        <v>3053</v>
      </c>
      <c r="F26" s="3" t="s">
        <v>3055</v>
      </c>
      <c r="G26" s="3" t="s">
        <v>2778</v>
      </c>
      <c r="H26" s="3" t="s">
        <v>1146</v>
      </c>
      <c r="I26" s="3" t="s">
        <v>3058</v>
      </c>
      <c r="J26" s="3" t="s">
        <v>3061</v>
      </c>
      <c r="K26" s="3" t="s">
        <v>3064</v>
      </c>
      <c r="L26" s="3" t="s">
        <v>3067</v>
      </c>
      <c r="M26" s="43" t="s">
        <v>1137</v>
      </c>
    </row>
    <row r="27">
      <c r="A27" s="3" t="s">
        <v>3071</v>
      </c>
      <c r="B27" s="3" t="s">
        <v>3075</v>
      </c>
      <c r="C27" s="3" t="s">
        <v>1126</v>
      </c>
      <c r="D27" s="3" t="s">
        <v>3077</v>
      </c>
      <c r="E27" s="3" t="s">
        <v>3078</v>
      </c>
      <c r="F27" s="3" t="s">
        <v>1130</v>
      </c>
      <c r="G27" s="3" t="s">
        <v>1130</v>
      </c>
      <c r="H27" s="3" t="s">
        <v>1289</v>
      </c>
      <c r="I27" s="3" t="s">
        <v>3079</v>
      </c>
      <c r="J27" s="3" t="s">
        <v>3081</v>
      </c>
      <c r="K27" s="3" t="s">
        <v>3083</v>
      </c>
      <c r="L27" s="3" t="s">
        <v>3084</v>
      </c>
      <c r="M27" s="43" t="s">
        <v>1137</v>
      </c>
    </row>
    <row r="28">
      <c r="A28" s="3" t="s">
        <v>3085</v>
      </c>
      <c r="B28" s="3" t="s">
        <v>1343</v>
      </c>
      <c r="C28" s="3" t="s">
        <v>1344</v>
      </c>
      <c r="D28" s="3" t="s">
        <v>3090</v>
      </c>
      <c r="E28" s="3" t="s">
        <v>3093</v>
      </c>
      <c r="F28" s="3" t="s">
        <v>1347</v>
      </c>
      <c r="G28" s="3" t="s">
        <v>1348</v>
      </c>
      <c r="H28" s="3" t="s">
        <v>1146</v>
      </c>
      <c r="I28" s="3" t="s">
        <v>1349</v>
      </c>
      <c r="J28" s="3" t="s">
        <v>3102</v>
      </c>
      <c r="K28" s="3" t="s">
        <v>3103</v>
      </c>
      <c r="L28" s="3" t="s">
        <v>3105</v>
      </c>
      <c r="M28" s="43" t="s">
        <v>1137</v>
      </c>
    </row>
    <row r="29">
      <c r="A29" s="3" t="s">
        <v>3110</v>
      </c>
      <c r="B29" s="3" t="s">
        <v>3111</v>
      </c>
      <c r="C29" s="3" t="s">
        <v>1360</v>
      </c>
      <c r="D29" s="3" t="s">
        <v>1362</v>
      </c>
      <c r="E29" s="3" t="s">
        <v>3117</v>
      </c>
      <c r="F29" s="3" t="s">
        <v>1365</v>
      </c>
      <c r="G29" s="3" t="s">
        <v>3123</v>
      </c>
      <c r="H29" s="3" t="s">
        <v>1146</v>
      </c>
      <c r="I29" s="3" t="s">
        <v>2732</v>
      </c>
      <c r="J29" s="3" t="s">
        <v>1372</v>
      </c>
      <c r="K29" s="3" t="s">
        <v>3131</v>
      </c>
      <c r="L29" s="3" t="s">
        <v>3134</v>
      </c>
      <c r="M29" s="43" t="s">
        <v>1137</v>
      </c>
    </row>
    <row r="30">
      <c r="A30" s="3" t="s">
        <v>3136</v>
      </c>
      <c r="B30" s="3" t="s">
        <v>3138</v>
      </c>
      <c r="C30" s="3" t="s">
        <v>1535</v>
      </c>
      <c r="D30" s="3" t="s">
        <v>3142</v>
      </c>
      <c r="E30" s="3" t="s">
        <v>3145</v>
      </c>
      <c r="F30" s="3" t="s">
        <v>3148</v>
      </c>
      <c r="G30" s="3" t="s">
        <v>3150</v>
      </c>
      <c r="H30" s="3" t="s">
        <v>1146</v>
      </c>
      <c r="I30" s="3" t="s">
        <v>3152</v>
      </c>
      <c r="J30" s="3" t="s">
        <v>3153</v>
      </c>
      <c r="K30" s="3" t="s">
        <v>3154</v>
      </c>
      <c r="L30" s="3" t="s">
        <v>3156</v>
      </c>
      <c r="M30" s="43" t="s">
        <v>1137</v>
      </c>
    </row>
    <row r="31">
      <c r="A31" s="3" t="s">
        <v>3157</v>
      </c>
      <c r="B31" s="3" t="s">
        <v>3159</v>
      </c>
      <c r="C31" s="3" t="s">
        <v>1344</v>
      </c>
      <c r="D31" s="3" t="s">
        <v>3162</v>
      </c>
      <c r="E31" s="3" t="s">
        <v>3163</v>
      </c>
      <c r="F31" s="3" t="s">
        <v>3164</v>
      </c>
      <c r="G31" s="3" t="s">
        <v>3166</v>
      </c>
      <c r="H31" s="3" t="s">
        <v>1146</v>
      </c>
      <c r="I31" s="3" t="s">
        <v>3167</v>
      </c>
      <c r="J31" s="3" t="s">
        <v>3168</v>
      </c>
      <c r="K31" s="3" t="s">
        <v>3172</v>
      </c>
      <c r="L31" s="3" t="s">
        <v>1341</v>
      </c>
      <c r="M31" s="43" t="s">
        <v>1137</v>
      </c>
    </row>
    <row r="32">
      <c r="A32" s="3" t="s">
        <v>3176</v>
      </c>
      <c r="B32" s="3" t="s">
        <v>1378</v>
      </c>
      <c r="C32" s="3" t="s">
        <v>1219</v>
      </c>
      <c r="D32" s="3" t="s">
        <v>3182</v>
      </c>
      <c r="E32" s="3" t="s">
        <v>1383</v>
      </c>
      <c r="F32" s="3" t="s">
        <v>1385</v>
      </c>
      <c r="G32" s="3" t="s">
        <v>1386</v>
      </c>
      <c r="H32" s="3" t="s">
        <v>1146</v>
      </c>
      <c r="I32" s="3" t="s">
        <v>3189</v>
      </c>
      <c r="J32" s="3" t="s">
        <v>1390</v>
      </c>
      <c r="K32" s="3" t="s">
        <v>3193</v>
      </c>
      <c r="L32" s="3" t="s">
        <v>1392</v>
      </c>
      <c r="M32" s="43" t="s">
        <v>1137</v>
      </c>
    </row>
    <row r="33">
      <c r="A33" s="3" t="s">
        <v>3198</v>
      </c>
      <c r="B33" s="3" t="s">
        <v>3200</v>
      </c>
      <c r="C33" s="3" t="s">
        <v>3203</v>
      </c>
      <c r="D33" s="3" t="s">
        <v>3208</v>
      </c>
      <c r="E33" s="3" t="s">
        <v>3212</v>
      </c>
      <c r="F33" s="3" t="s">
        <v>1130</v>
      </c>
      <c r="G33" s="3" t="s">
        <v>1130</v>
      </c>
      <c r="H33" s="3" t="s">
        <v>1132</v>
      </c>
      <c r="I33" s="3" t="s">
        <v>3217</v>
      </c>
      <c r="J33" s="3" t="s">
        <v>3220</v>
      </c>
      <c r="K33" s="3" t="s">
        <v>3224</v>
      </c>
      <c r="L33" s="3" t="s">
        <v>1293</v>
      </c>
      <c r="M33" s="43" t="s">
        <v>1137</v>
      </c>
    </row>
    <row r="34">
      <c r="A34" s="3" t="s">
        <v>3230</v>
      </c>
      <c r="B34" s="3" t="s">
        <v>3233</v>
      </c>
      <c r="C34" s="3" t="s">
        <v>3235</v>
      </c>
      <c r="D34" s="3" t="s">
        <v>3237</v>
      </c>
      <c r="E34" s="3" t="s">
        <v>3240</v>
      </c>
      <c r="F34" s="3" t="s">
        <v>3242</v>
      </c>
      <c r="G34" s="3" t="s">
        <v>3244</v>
      </c>
      <c r="H34" s="3" t="s">
        <v>1146</v>
      </c>
      <c r="I34" s="3" t="s">
        <v>3248</v>
      </c>
      <c r="J34" s="3" t="s">
        <v>3250</v>
      </c>
      <c r="K34" s="3" t="s">
        <v>3252</v>
      </c>
      <c r="L34" s="3" t="s">
        <v>3255</v>
      </c>
      <c r="M34" s="43" t="s">
        <v>1137</v>
      </c>
    </row>
    <row r="35">
      <c r="A35" s="3" t="s">
        <v>3259</v>
      </c>
      <c r="B35" s="3" t="s">
        <v>3262</v>
      </c>
      <c r="C35" s="3" t="s">
        <v>1535</v>
      </c>
      <c r="D35" s="3" t="s">
        <v>3267</v>
      </c>
      <c r="E35" s="3" t="s">
        <v>3270</v>
      </c>
      <c r="F35" s="3" t="s">
        <v>3272</v>
      </c>
      <c r="G35" s="3" t="s">
        <v>3275</v>
      </c>
      <c r="H35" s="3" t="s">
        <v>1146</v>
      </c>
      <c r="I35" s="3" t="s">
        <v>3278</v>
      </c>
      <c r="J35" s="3" t="s">
        <v>3280</v>
      </c>
      <c r="K35" s="3" t="s">
        <v>3281</v>
      </c>
      <c r="L35" s="3" t="s">
        <v>2161</v>
      </c>
      <c r="M35" s="43" t="s">
        <v>1137</v>
      </c>
    </row>
    <row r="36">
      <c r="A36" s="3" t="s">
        <v>3288</v>
      </c>
      <c r="B36" s="3" t="s">
        <v>3290</v>
      </c>
      <c r="C36" s="3" t="s">
        <v>1535</v>
      </c>
      <c r="D36" s="3" t="s">
        <v>3295</v>
      </c>
      <c r="E36" s="3" t="s">
        <v>1562</v>
      </c>
      <c r="F36" s="3" t="s">
        <v>1566</v>
      </c>
      <c r="G36" s="3" t="s">
        <v>1570</v>
      </c>
      <c r="H36" s="3" t="s">
        <v>1146</v>
      </c>
      <c r="I36" s="3" t="s">
        <v>3313</v>
      </c>
      <c r="J36" s="3" t="s">
        <v>1579</v>
      </c>
      <c r="K36" s="3" t="s">
        <v>3315</v>
      </c>
      <c r="L36" s="3" t="s">
        <v>3318</v>
      </c>
      <c r="M36" s="43" t="s">
        <v>1137</v>
      </c>
    </row>
    <row r="37">
      <c r="A37" s="3" t="s">
        <v>3321</v>
      </c>
      <c r="B37" s="3" t="s">
        <v>3322</v>
      </c>
      <c r="C37" s="3" t="s">
        <v>3324</v>
      </c>
      <c r="D37" s="3" t="s">
        <v>3326</v>
      </c>
      <c r="E37" s="3" t="s">
        <v>3327</v>
      </c>
      <c r="F37" s="3" t="s">
        <v>3330</v>
      </c>
      <c r="G37" s="3" t="s">
        <v>3332</v>
      </c>
      <c r="H37" s="3" t="s">
        <v>3334</v>
      </c>
      <c r="I37" s="3" t="s">
        <v>3335</v>
      </c>
      <c r="J37" s="3" t="s">
        <v>3337</v>
      </c>
      <c r="K37" s="3" t="s">
        <v>3338</v>
      </c>
      <c r="L37" s="3" t="s">
        <v>3339</v>
      </c>
      <c r="M37" s="43" t="s">
        <v>1137</v>
      </c>
    </row>
    <row r="38">
      <c r="A38" s="3" t="s">
        <v>3341</v>
      </c>
      <c r="B38" s="3" t="s">
        <v>3343</v>
      </c>
      <c r="C38" s="3" t="s">
        <v>3345</v>
      </c>
      <c r="D38" s="3" t="s">
        <v>3347</v>
      </c>
      <c r="E38" s="3" t="s">
        <v>3349</v>
      </c>
      <c r="F38" s="3" t="s">
        <v>3351</v>
      </c>
      <c r="G38" s="3" t="s">
        <v>3353</v>
      </c>
      <c r="H38" s="3" t="s">
        <v>3354</v>
      </c>
      <c r="I38" s="3" t="s">
        <v>3355</v>
      </c>
      <c r="J38" s="3" t="s">
        <v>3357</v>
      </c>
      <c r="K38" s="3" t="s">
        <v>3360</v>
      </c>
      <c r="L38" s="3" t="s">
        <v>3372</v>
      </c>
      <c r="M38" s="43" t="s">
        <v>1137</v>
      </c>
    </row>
    <row r="39">
      <c r="A39" s="3" t="s">
        <v>3374</v>
      </c>
      <c r="B39" s="3" t="s">
        <v>3377</v>
      </c>
      <c r="C39" s="3" t="s">
        <v>3379</v>
      </c>
      <c r="D39" s="3" t="s">
        <v>3382</v>
      </c>
      <c r="E39" s="3" t="s">
        <v>3384</v>
      </c>
      <c r="F39" s="3" t="s">
        <v>1130</v>
      </c>
      <c r="G39" s="3" t="s">
        <v>1130</v>
      </c>
      <c r="H39" s="3" t="s">
        <v>1452</v>
      </c>
      <c r="I39" s="3" t="s">
        <v>3392</v>
      </c>
      <c r="J39" s="3" t="s">
        <v>3393</v>
      </c>
      <c r="K39" s="3" t="s">
        <v>3395</v>
      </c>
      <c r="L39" s="3" t="s">
        <v>1293</v>
      </c>
      <c r="M39" s="43" t="s">
        <v>1137</v>
      </c>
    </row>
    <row r="40">
      <c r="A40" s="3" t="s">
        <v>3401</v>
      </c>
      <c r="B40" s="3" t="s">
        <v>3403</v>
      </c>
      <c r="C40" s="3" t="s">
        <v>1153</v>
      </c>
      <c r="D40" s="3" t="s">
        <v>3409</v>
      </c>
      <c r="E40" s="3" t="s">
        <v>3410</v>
      </c>
      <c r="F40" s="3" t="s">
        <v>2108</v>
      </c>
      <c r="G40" s="3" t="s">
        <v>3414</v>
      </c>
      <c r="H40" s="3" t="s">
        <v>3415</v>
      </c>
      <c r="I40" s="3" t="s">
        <v>3418</v>
      </c>
      <c r="J40" s="3" t="s">
        <v>3422</v>
      </c>
      <c r="K40" s="3" t="s">
        <v>3426</v>
      </c>
      <c r="L40" s="3" t="s">
        <v>3429</v>
      </c>
      <c r="M40" s="43" t="s">
        <v>3431</v>
      </c>
    </row>
    <row r="41">
      <c r="A41" s="3" t="s">
        <v>3433</v>
      </c>
      <c r="B41" s="3" t="s">
        <v>3436</v>
      </c>
      <c r="C41" s="3" t="s">
        <v>1153</v>
      </c>
      <c r="D41" s="3" t="s">
        <v>3441</v>
      </c>
      <c r="E41" s="3" t="s">
        <v>3444</v>
      </c>
      <c r="F41" s="3" t="s">
        <v>1173</v>
      </c>
      <c r="G41" s="3" t="s">
        <v>3414</v>
      </c>
      <c r="H41" s="3" t="s">
        <v>3449</v>
      </c>
      <c r="I41" s="3" t="s">
        <v>3452</v>
      </c>
      <c r="J41" s="3" t="s">
        <v>3453</v>
      </c>
      <c r="K41" s="3" t="s">
        <v>1179</v>
      </c>
      <c r="L41" s="3" t="s">
        <v>1738</v>
      </c>
      <c r="M41" s="43" t="s">
        <v>1181</v>
      </c>
    </row>
    <row r="42">
      <c r="A42" s="3" t="s">
        <v>3460</v>
      </c>
      <c r="B42" s="3" t="s">
        <v>3466</v>
      </c>
      <c r="C42" s="3" t="s">
        <v>1184</v>
      </c>
      <c r="D42" s="3" t="s">
        <v>3471</v>
      </c>
      <c r="E42" s="3" t="s">
        <v>3473</v>
      </c>
      <c r="F42" s="3" t="s">
        <v>3476</v>
      </c>
      <c r="G42" s="3" t="s">
        <v>3481</v>
      </c>
      <c r="H42" s="3" t="s">
        <v>1146</v>
      </c>
      <c r="I42" s="3" t="s">
        <v>3079</v>
      </c>
      <c r="J42" s="3" t="s">
        <v>1192</v>
      </c>
      <c r="K42" s="3" t="s">
        <v>3488</v>
      </c>
      <c r="L42" s="3" t="s">
        <v>3492</v>
      </c>
      <c r="M42" s="43" t="s">
        <v>1137</v>
      </c>
    </row>
    <row r="43">
      <c r="A43" s="3" t="s">
        <v>3494</v>
      </c>
      <c r="B43" s="3" t="s">
        <v>3496</v>
      </c>
      <c r="C43" s="3" t="s">
        <v>1141</v>
      </c>
      <c r="D43" s="3" t="s">
        <v>3498</v>
      </c>
      <c r="E43" s="3" t="s">
        <v>3500</v>
      </c>
      <c r="F43" s="3" t="s">
        <v>1619</v>
      </c>
      <c r="G43" s="3" t="s">
        <v>3166</v>
      </c>
      <c r="H43" s="3" t="s">
        <v>1146</v>
      </c>
      <c r="I43" s="3" t="s">
        <v>3510</v>
      </c>
      <c r="J43" s="3" t="s">
        <v>3512</v>
      </c>
      <c r="K43" s="3" t="s">
        <v>3514</v>
      </c>
      <c r="L43" s="3" t="s">
        <v>3515</v>
      </c>
      <c r="M43" s="43" t="s">
        <v>1137</v>
      </c>
    </row>
    <row r="44">
      <c r="A44" s="3" t="s">
        <v>3519</v>
      </c>
      <c r="B44" s="3" t="s">
        <v>417</v>
      </c>
      <c r="C44" s="3" t="s">
        <v>1153</v>
      </c>
      <c r="D44" s="3" t="s">
        <v>3523</v>
      </c>
      <c r="E44" s="3" t="s">
        <v>3526</v>
      </c>
      <c r="F44" s="3" t="s">
        <v>1597</v>
      </c>
      <c r="G44" s="3" t="s">
        <v>1599</v>
      </c>
      <c r="H44" s="3" t="s">
        <v>1601</v>
      </c>
      <c r="I44" s="3" t="s">
        <v>1602</v>
      </c>
      <c r="J44" s="3" t="s">
        <v>3537</v>
      </c>
      <c r="K44" s="3" t="s">
        <v>1606</v>
      </c>
      <c r="L44" s="3" t="s">
        <v>3541</v>
      </c>
      <c r="M44" s="43" t="s">
        <v>1610</v>
      </c>
    </row>
    <row r="45">
      <c r="A45" s="3" t="s">
        <v>3545</v>
      </c>
      <c r="B45" s="3" t="s">
        <v>1633</v>
      </c>
      <c r="C45" s="3" t="s">
        <v>1635</v>
      </c>
      <c r="D45" s="3" t="s">
        <v>3551</v>
      </c>
      <c r="E45" s="3" t="s">
        <v>3553</v>
      </c>
      <c r="F45" s="3" t="s">
        <v>1643</v>
      </c>
      <c r="G45" s="4" t="s">
        <v>1647</v>
      </c>
      <c r="H45" s="3" t="s">
        <v>1650</v>
      </c>
      <c r="I45" s="3" t="s">
        <v>1653</v>
      </c>
      <c r="J45" s="3" t="s">
        <v>3562</v>
      </c>
      <c r="K45" s="3" t="s">
        <v>3564</v>
      </c>
      <c r="L45" s="3" t="s">
        <v>3565</v>
      </c>
      <c r="M45" s="43" t="s">
        <v>1663</v>
      </c>
    </row>
    <row r="46">
      <c r="A46" s="3" t="s">
        <v>3568</v>
      </c>
      <c r="B46" s="3" t="s">
        <v>3570</v>
      </c>
      <c r="C46" s="3" t="s">
        <v>1635</v>
      </c>
      <c r="D46" s="3" t="s">
        <v>3573</v>
      </c>
      <c r="E46" s="3" t="s">
        <v>3575</v>
      </c>
      <c r="F46" s="3" t="s">
        <v>3576</v>
      </c>
      <c r="G46" s="3" t="s">
        <v>1130</v>
      </c>
      <c r="H46" s="3" t="s">
        <v>3578</v>
      </c>
      <c r="I46" s="3" t="s">
        <v>3580</v>
      </c>
      <c r="J46" s="3" t="s">
        <v>3583</v>
      </c>
      <c r="K46" s="3" t="s">
        <v>3585</v>
      </c>
      <c r="L46" s="3" t="s">
        <v>3588</v>
      </c>
      <c r="M46" s="43" t="s">
        <v>1663</v>
      </c>
    </row>
  </sheetData>
  <autoFilter ref="$A$1:$M$46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25.13"/>
    <col customWidth="1" min="4" max="4" width="36.38"/>
    <col customWidth="1" min="5" max="5" width="23.88"/>
    <col customWidth="1" min="6" max="10" width="35.13"/>
    <col customWidth="1" min="11" max="11" width="41.38"/>
    <col customWidth="1" min="12" max="12" width="20.13"/>
  </cols>
  <sheetData>
    <row r="1">
      <c r="A1" s="42" t="s">
        <v>1200</v>
      </c>
      <c r="B1" s="42" t="s">
        <v>1205</v>
      </c>
      <c r="C1" s="42" t="s">
        <v>1209</v>
      </c>
      <c r="D1" s="42" t="s">
        <v>1212</v>
      </c>
      <c r="E1" s="42" t="s">
        <v>1215</v>
      </c>
      <c r="F1" s="42" t="s">
        <v>1217</v>
      </c>
      <c r="G1" s="42" t="s">
        <v>1220</v>
      </c>
      <c r="H1" s="42" t="s">
        <v>1224</v>
      </c>
      <c r="I1" s="42" t="s">
        <v>1226</v>
      </c>
      <c r="J1" s="42" t="s">
        <v>1227</v>
      </c>
      <c r="K1" s="42" t="s">
        <v>1229</v>
      </c>
      <c r="L1" s="42" t="s">
        <v>1121</v>
      </c>
    </row>
    <row r="2">
      <c r="A2" s="3" t="s">
        <v>2988</v>
      </c>
      <c r="B2" s="3" t="s">
        <v>2992</v>
      </c>
      <c r="C2" s="3" t="s">
        <v>188</v>
      </c>
      <c r="D2" s="3" t="s">
        <v>2996</v>
      </c>
      <c r="E2" s="3" t="s">
        <v>2998</v>
      </c>
      <c r="F2" s="3" t="s">
        <v>3000</v>
      </c>
      <c r="G2" s="3" t="s">
        <v>1244</v>
      </c>
      <c r="H2" s="3" t="s">
        <v>3003</v>
      </c>
      <c r="I2" s="3" t="s">
        <v>3006</v>
      </c>
      <c r="J2" s="3" t="s">
        <v>3008</v>
      </c>
      <c r="K2" s="40" t="s">
        <v>908</v>
      </c>
      <c r="L2" s="43" t="s">
        <v>3052</v>
      </c>
    </row>
    <row r="3">
      <c r="A3" s="3" t="s">
        <v>3056</v>
      </c>
      <c r="B3" s="3" t="s">
        <v>3057</v>
      </c>
      <c r="C3" s="3" t="s">
        <v>1359</v>
      </c>
      <c r="D3" s="3" t="s">
        <v>3060</v>
      </c>
      <c r="E3" s="3" t="s">
        <v>3063</v>
      </c>
      <c r="F3" s="3" t="s">
        <v>3066</v>
      </c>
      <c r="G3" s="3" t="s">
        <v>2143</v>
      </c>
      <c r="H3" s="3" t="s">
        <v>3069</v>
      </c>
      <c r="I3" s="3" t="s">
        <v>3072</v>
      </c>
      <c r="J3" s="3" t="s">
        <v>3073</v>
      </c>
      <c r="K3" s="40" t="s">
        <v>641</v>
      </c>
      <c r="L3" s="43" t="s">
        <v>1353</v>
      </c>
    </row>
    <row r="4">
      <c r="A4" s="3" t="s">
        <v>3086</v>
      </c>
      <c r="B4" s="3" t="s">
        <v>3088</v>
      </c>
      <c r="C4" s="3" t="s">
        <v>1382</v>
      </c>
      <c r="D4" s="3" t="s">
        <v>3089</v>
      </c>
      <c r="E4" s="3" t="s">
        <v>898</v>
      </c>
      <c r="F4" s="3" t="s">
        <v>3094</v>
      </c>
      <c r="G4" s="3" t="s">
        <v>3096</v>
      </c>
      <c r="H4" s="3" t="s">
        <v>3097</v>
      </c>
      <c r="I4" s="3" t="s">
        <v>3098</v>
      </c>
      <c r="J4" s="3" t="s">
        <v>3100</v>
      </c>
      <c r="K4" s="40" t="s">
        <v>908</v>
      </c>
      <c r="L4" s="43" t="s">
        <v>1874</v>
      </c>
    </row>
    <row r="5">
      <c r="A5" s="3" t="s">
        <v>3107</v>
      </c>
      <c r="B5" s="3" t="s">
        <v>3109</v>
      </c>
      <c r="C5" s="3" t="s">
        <v>1382</v>
      </c>
      <c r="D5" s="3" t="s">
        <v>3112</v>
      </c>
      <c r="E5" s="3" t="s">
        <v>1551</v>
      </c>
      <c r="F5" s="3" t="s">
        <v>3116</v>
      </c>
      <c r="G5" s="3" t="s">
        <v>3120</v>
      </c>
      <c r="H5" s="3" t="s">
        <v>3122</v>
      </c>
      <c r="I5" s="3" t="s">
        <v>3124</v>
      </c>
      <c r="J5" s="3" t="s">
        <v>3126</v>
      </c>
      <c r="K5" s="40" t="s">
        <v>1578</v>
      </c>
      <c r="L5" s="43" t="s">
        <v>1465</v>
      </c>
    </row>
    <row r="6">
      <c r="A6" s="3" t="s">
        <v>3169</v>
      </c>
      <c r="B6" s="3" t="s">
        <v>3171</v>
      </c>
      <c r="C6" s="3" t="s">
        <v>1382</v>
      </c>
      <c r="D6" s="3" t="s">
        <v>3175</v>
      </c>
      <c r="E6" s="3" t="s">
        <v>2453</v>
      </c>
      <c r="F6" s="3" t="s">
        <v>3177</v>
      </c>
      <c r="G6" s="3" t="s">
        <v>1938</v>
      </c>
      <c r="H6" s="3" t="s">
        <v>3178</v>
      </c>
      <c r="I6" s="3" t="s">
        <v>3179</v>
      </c>
      <c r="J6" s="3" t="s">
        <v>3181</v>
      </c>
      <c r="K6" s="40" t="s">
        <v>908</v>
      </c>
      <c r="L6" s="43" t="s">
        <v>1874</v>
      </c>
    </row>
    <row r="7">
      <c r="A7" s="3" t="s">
        <v>3185</v>
      </c>
      <c r="B7" s="3" t="s">
        <v>3187</v>
      </c>
      <c r="C7" s="3" t="s">
        <v>1382</v>
      </c>
      <c r="D7" s="3" t="s">
        <v>3190</v>
      </c>
      <c r="E7" s="3" t="s">
        <v>1968</v>
      </c>
      <c r="F7" s="3" t="s">
        <v>3192</v>
      </c>
      <c r="G7" s="3" t="s">
        <v>1938</v>
      </c>
      <c r="H7" s="3" t="s">
        <v>3195</v>
      </c>
      <c r="I7" s="3" t="s">
        <v>3197</v>
      </c>
      <c r="J7" s="3" t="s">
        <v>3199</v>
      </c>
      <c r="K7" s="40" t="s">
        <v>908</v>
      </c>
      <c r="L7" s="43" t="s">
        <v>1874</v>
      </c>
    </row>
    <row r="8">
      <c r="A8" s="3" t="s">
        <v>3206</v>
      </c>
      <c r="B8" s="3" t="s">
        <v>3210</v>
      </c>
      <c r="C8" s="3" t="s">
        <v>1382</v>
      </c>
      <c r="D8" s="3" t="s">
        <v>3218</v>
      </c>
      <c r="E8" s="3" t="s">
        <v>3219</v>
      </c>
      <c r="F8" s="3" t="s">
        <v>3221</v>
      </c>
      <c r="G8" s="3" t="s">
        <v>3223</v>
      </c>
      <c r="H8" s="3" t="s">
        <v>3225</v>
      </c>
      <c r="I8" s="3" t="s">
        <v>3226</v>
      </c>
      <c r="J8" s="3" t="s">
        <v>3228</v>
      </c>
      <c r="K8" s="40" t="s">
        <v>908</v>
      </c>
      <c r="L8" s="43" t="s">
        <v>3232</v>
      </c>
    </row>
    <row r="9">
      <c r="A9" s="3" t="s">
        <v>3234</v>
      </c>
      <c r="B9" s="3" t="s">
        <v>3236</v>
      </c>
      <c r="C9" s="3" t="s">
        <v>1382</v>
      </c>
      <c r="D9" s="3" t="s">
        <v>3238</v>
      </c>
      <c r="E9" s="3" t="s">
        <v>3239</v>
      </c>
      <c r="F9" s="3" t="s">
        <v>3241</v>
      </c>
      <c r="G9" s="3" t="s">
        <v>1938</v>
      </c>
      <c r="H9" s="3" t="s">
        <v>3245</v>
      </c>
      <c r="I9" s="3" t="s">
        <v>3246</v>
      </c>
      <c r="J9" s="3" t="s">
        <v>3247</v>
      </c>
      <c r="K9" s="40" t="s">
        <v>641</v>
      </c>
      <c r="L9" s="43" t="s">
        <v>1874</v>
      </c>
    </row>
    <row r="10">
      <c r="A10" s="3" t="s">
        <v>3253</v>
      </c>
      <c r="B10" s="3" t="s">
        <v>3256</v>
      </c>
      <c r="C10" s="3" t="s">
        <v>1359</v>
      </c>
      <c r="D10" s="3" t="s">
        <v>3257</v>
      </c>
      <c r="E10" s="3" t="s">
        <v>3258</v>
      </c>
      <c r="F10" s="3" t="s">
        <v>3261</v>
      </c>
      <c r="G10" s="3" t="s">
        <v>3264</v>
      </c>
      <c r="H10" s="3" t="s">
        <v>3265</v>
      </c>
      <c r="I10" s="3" t="s">
        <v>3266</v>
      </c>
      <c r="J10" s="3" t="s">
        <v>3269</v>
      </c>
      <c r="K10" s="40" t="s">
        <v>641</v>
      </c>
      <c r="L10" s="43" t="s">
        <v>3274</v>
      </c>
    </row>
    <row r="11">
      <c r="A11" s="3" t="s">
        <v>3276</v>
      </c>
      <c r="B11" s="3" t="s">
        <v>3277</v>
      </c>
      <c r="C11" s="3" t="s">
        <v>1382</v>
      </c>
      <c r="D11" s="3" t="s">
        <v>3279</v>
      </c>
      <c r="E11" s="3" t="s">
        <v>3258</v>
      </c>
      <c r="F11" s="3" t="s">
        <v>3282</v>
      </c>
      <c r="G11" s="3" t="s">
        <v>1938</v>
      </c>
      <c r="H11" s="3" t="s">
        <v>3284</v>
      </c>
      <c r="I11" s="3" t="s">
        <v>3285</v>
      </c>
      <c r="J11" s="3" t="s">
        <v>3287</v>
      </c>
      <c r="K11" s="40" t="s">
        <v>641</v>
      </c>
      <c r="L11" s="43" t="s">
        <v>1874</v>
      </c>
    </row>
    <row r="12">
      <c r="A12" s="3" t="s">
        <v>3292</v>
      </c>
      <c r="B12" s="3" t="s">
        <v>3294</v>
      </c>
      <c r="C12" s="3" t="s">
        <v>1359</v>
      </c>
      <c r="D12" s="3" t="s">
        <v>3298</v>
      </c>
      <c r="E12" s="3" t="s">
        <v>3299</v>
      </c>
      <c r="F12" s="3" t="s">
        <v>3301</v>
      </c>
      <c r="G12" s="3" t="s">
        <v>3305</v>
      </c>
      <c r="H12" s="3" t="s">
        <v>3307</v>
      </c>
      <c r="I12" s="3" t="s">
        <v>3308</v>
      </c>
      <c r="J12" s="3" t="s">
        <v>3309</v>
      </c>
      <c r="K12" s="40" t="s">
        <v>934</v>
      </c>
      <c r="L12" s="43" t="s">
        <v>1874</v>
      </c>
    </row>
    <row r="13">
      <c r="A13" s="3" t="s">
        <v>3367</v>
      </c>
      <c r="B13" s="3" t="s">
        <v>3369</v>
      </c>
      <c r="C13" s="3" t="s">
        <v>1382</v>
      </c>
      <c r="D13" s="3" t="s">
        <v>3373</v>
      </c>
      <c r="E13" s="3" t="s">
        <v>2864</v>
      </c>
      <c r="F13" s="3" t="s">
        <v>3380</v>
      </c>
      <c r="G13" s="3" t="s">
        <v>1892</v>
      </c>
      <c r="H13" s="3" t="s">
        <v>3386</v>
      </c>
      <c r="I13" s="3" t="s">
        <v>3388</v>
      </c>
      <c r="J13" s="3" t="s">
        <v>1899</v>
      </c>
      <c r="K13" s="40" t="s">
        <v>908</v>
      </c>
      <c r="L13" s="43" t="s">
        <v>1874</v>
      </c>
    </row>
    <row r="14">
      <c r="A14" s="3" t="s">
        <v>3400</v>
      </c>
      <c r="B14" s="3" t="s">
        <v>3402</v>
      </c>
      <c r="C14" s="3" t="s">
        <v>1382</v>
      </c>
      <c r="D14" s="3" t="s">
        <v>3406</v>
      </c>
      <c r="E14" s="3" t="s">
        <v>3408</v>
      </c>
      <c r="F14" s="3" t="s">
        <v>3411</v>
      </c>
      <c r="G14" s="3" t="s">
        <v>1915</v>
      </c>
      <c r="H14" s="3" t="s">
        <v>3416</v>
      </c>
      <c r="I14" s="3" t="s">
        <v>3419</v>
      </c>
      <c r="J14" s="3" t="s">
        <v>3425</v>
      </c>
      <c r="K14" s="40" t="s">
        <v>908</v>
      </c>
      <c r="L14" s="43" t="s">
        <v>3434</v>
      </c>
    </row>
    <row r="15">
      <c r="A15" s="3" t="s">
        <v>3437</v>
      </c>
      <c r="B15" s="3" t="s">
        <v>3438</v>
      </c>
      <c r="C15" s="3" t="s">
        <v>1382</v>
      </c>
      <c r="D15" s="3" t="s">
        <v>3458</v>
      </c>
      <c r="E15" s="3" t="s">
        <v>1911</v>
      </c>
      <c r="F15" s="3" t="s">
        <v>3463</v>
      </c>
      <c r="G15" s="3" t="s">
        <v>1915</v>
      </c>
      <c r="H15" s="3" t="s">
        <v>3469</v>
      </c>
      <c r="I15" s="3" t="s">
        <v>3472</v>
      </c>
      <c r="J15" s="3" t="s">
        <v>3474</v>
      </c>
      <c r="K15" s="40" t="s">
        <v>641</v>
      </c>
      <c r="L15" s="43" t="s">
        <v>1874</v>
      </c>
    </row>
    <row r="16">
      <c r="A16" s="3" t="s">
        <v>3487</v>
      </c>
      <c r="B16" s="3" t="s">
        <v>3490</v>
      </c>
      <c r="C16" s="3" t="s">
        <v>1382</v>
      </c>
      <c r="D16" s="3" t="s">
        <v>3495</v>
      </c>
      <c r="E16" s="3" t="s">
        <v>3497</v>
      </c>
      <c r="F16" s="3" t="s">
        <v>3501</v>
      </c>
      <c r="G16" s="3" t="s">
        <v>3503</v>
      </c>
      <c r="H16" s="3" t="s">
        <v>3504</v>
      </c>
      <c r="I16" s="3" t="s">
        <v>3506</v>
      </c>
      <c r="J16" s="3" t="s">
        <v>3508</v>
      </c>
      <c r="K16" s="40" t="s">
        <v>908</v>
      </c>
      <c r="L16" s="43" t="s">
        <v>3232</v>
      </c>
    </row>
    <row r="17">
      <c r="A17" s="3" t="s">
        <v>3516</v>
      </c>
      <c r="B17" s="3" t="s">
        <v>3518</v>
      </c>
      <c r="C17" s="3" t="s">
        <v>1382</v>
      </c>
      <c r="D17" s="3" t="s">
        <v>3522</v>
      </c>
      <c r="E17" s="3" t="s">
        <v>3524</v>
      </c>
      <c r="F17" s="3" t="s">
        <v>3527</v>
      </c>
      <c r="G17" s="3" t="s">
        <v>3529</v>
      </c>
      <c r="H17" s="3" t="s">
        <v>3532</v>
      </c>
      <c r="I17" s="3" t="s">
        <v>3534</v>
      </c>
      <c r="J17" s="3" t="s">
        <v>3539</v>
      </c>
      <c r="K17" s="40" t="s">
        <v>908</v>
      </c>
      <c r="L17" s="43" t="s">
        <v>3543</v>
      </c>
    </row>
    <row r="18">
      <c r="A18" s="3" t="s">
        <v>3547</v>
      </c>
      <c r="B18" s="3" t="s">
        <v>3549</v>
      </c>
      <c r="C18" s="3" t="s">
        <v>1382</v>
      </c>
      <c r="D18" s="3" t="s">
        <v>3554</v>
      </c>
      <c r="E18" s="3" t="s">
        <v>3556</v>
      </c>
      <c r="F18" s="3" t="s">
        <v>3558</v>
      </c>
      <c r="G18" s="3" t="s">
        <v>3560</v>
      </c>
      <c r="H18" s="3" t="s">
        <v>3561</v>
      </c>
      <c r="I18" s="3" t="s">
        <v>3563</v>
      </c>
      <c r="J18" s="3" t="s">
        <v>3566</v>
      </c>
      <c r="K18" s="40" t="s">
        <v>908</v>
      </c>
      <c r="L18" s="43" t="s">
        <v>3572</v>
      </c>
    </row>
    <row r="19">
      <c r="A19" s="3" t="s">
        <v>3574</v>
      </c>
      <c r="B19" s="3" t="s">
        <v>654</v>
      </c>
      <c r="C19" s="3" t="s">
        <v>1382</v>
      </c>
      <c r="D19" s="3" t="s">
        <v>3577</v>
      </c>
      <c r="E19" s="3" t="s">
        <v>3556</v>
      </c>
      <c r="F19" s="3" t="s">
        <v>3582</v>
      </c>
      <c r="G19" s="3" t="s">
        <v>3586</v>
      </c>
      <c r="H19" s="3" t="s">
        <v>3590</v>
      </c>
      <c r="I19" s="3" t="s">
        <v>3591</v>
      </c>
      <c r="J19" s="3" t="s">
        <v>3592</v>
      </c>
      <c r="K19" s="40" t="s">
        <v>641</v>
      </c>
      <c r="L19" s="43" t="s">
        <v>1874</v>
      </c>
    </row>
    <row r="20">
      <c r="A20" s="3" t="s">
        <v>3599</v>
      </c>
      <c r="B20" s="3" t="s">
        <v>3602</v>
      </c>
      <c r="C20" s="3" t="s">
        <v>1382</v>
      </c>
      <c r="D20" s="3" t="s">
        <v>3605</v>
      </c>
      <c r="E20" s="3" t="s">
        <v>3607</v>
      </c>
      <c r="F20" s="3" t="s">
        <v>3609</v>
      </c>
      <c r="G20" s="3" t="s">
        <v>3611</v>
      </c>
      <c r="H20" s="3" t="s">
        <v>3614</v>
      </c>
      <c r="I20" s="3" t="s">
        <v>3618</v>
      </c>
      <c r="J20" s="3" t="s">
        <v>3620</v>
      </c>
      <c r="K20" s="40" t="s">
        <v>959</v>
      </c>
      <c r="L20" s="43" t="s">
        <v>1465</v>
      </c>
    </row>
    <row r="21">
      <c r="A21" s="3" t="s">
        <v>3655</v>
      </c>
      <c r="B21" s="3" t="s">
        <v>3657</v>
      </c>
      <c r="C21" s="3" t="s">
        <v>1382</v>
      </c>
      <c r="D21" s="3" t="s">
        <v>3659</v>
      </c>
      <c r="E21" s="3" t="s">
        <v>3183</v>
      </c>
      <c r="F21" s="3" t="s">
        <v>3662</v>
      </c>
      <c r="G21" s="3" t="s">
        <v>3663</v>
      </c>
      <c r="H21" s="3" t="s">
        <v>3664</v>
      </c>
      <c r="I21" s="3" t="s">
        <v>3666</v>
      </c>
      <c r="J21" s="3" t="s">
        <v>3667</v>
      </c>
      <c r="K21" s="40" t="s">
        <v>908</v>
      </c>
      <c r="L21" s="43" t="s">
        <v>1874</v>
      </c>
    </row>
    <row r="22">
      <c r="A22" s="3" t="s">
        <v>3671</v>
      </c>
      <c r="B22" s="3" t="s">
        <v>3673</v>
      </c>
      <c r="C22" s="3" t="s">
        <v>1382</v>
      </c>
      <c r="D22" s="3" t="s">
        <v>3676</v>
      </c>
      <c r="E22" s="3" t="s">
        <v>3359</v>
      </c>
      <c r="F22" s="3" t="s">
        <v>3678</v>
      </c>
      <c r="G22" s="3" t="s">
        <v>2008</v>
      </c>
      <c r="H22" s="3" t="s">
        <v>3681</v>
      </c>
      <c r="I22" s="3" t="s">
        <v>3682</v>
      </c>
      <c r="J22" s="3" t="s">
        <v>3684</v>
      </c>
      <c r="K22" s="40" t="s">
        <v>641</v>
      </c>
      <c r="L22" s="43" t="s">
        <v>1874</v>
      </c>
    </row>
    <row r="23">
      <c r="A23" s="3" t="s">
        <v>3687</v>
      </c>
      <c r="B23" s="3" t="s">
        <v>3688</v>
      </c>
      <c r="C23" s="3" t="s">
        <v>1382</v>
      </c>
      <c r="D23" s="3" t="s">
        <v>3690</v>
      </c>
      <c r="E23" s="3" t="s">
        <v>3692</v>
      </c>
      <c r="F23" s="3" t="s">
        <v>3695</v>
      </c>
      <c r="G23" s="3" t="s">
        <v>2036</v>
      </c>
      <c r="H23" s="3" t="s">
        <v>3698</v>
      </c>
      <c r="I23" s="3" t="s">
        <v>3699</v>
      </c>
      <c r="J23" s="3" t="s">
        <v>3701</v>
      </c>
      <c r="K23" s="40" t="s">
        <v>934</v>
      </c>
      <c r="L23" s="43" t="s">
        <v>1465</v>
      </c>
    </row>
    <row r="24">
      <c r="A24" s="3" t="s">
        <v>3705</v>
      </c>
      <c r="B24" s="3" t="s">
        <v>3707</v>
      </c>
      <c r="C24" s="3" t="s">
        <v>1382</v>
      </c>
      <c r="D24" s="3" t="s">
        <v>3708</v>
      </c>
      <c r="E24" s="3" t="s">
        <v>1478</v>
      </c>
      <c r="F24" s="3" t="s">
        <v>3709</v>
      </c>
      <c r="G24" s="3" t="s">
        <v>3560</v>
      </c>
      <c r="H24" s="3" t="s">
        <v>3712</v>
      </c>
      <c r="I24" s="3" t="s">
        <v>3713</v>
      </c>
      <c r="J24" s="3" t="s">
        <v>3715</v>
      </c>
      <c r="K24" s="40" t="s">
        <v>959</v>
      </c>
      <c r="L24" s="43" t="s">
        <v>1465</v>
      </c>
    </row>
    <row r="25">
      <c r="A25" s="3" t="s">
        <v>3720</v>
      </c>
      <c r="B25" s="3" t="s">
        <v>3722</v>
      </c>
      <c r="C25" s="3" t="s">
        <v>1382</v>
      </c>
      <c r="D25" s="3" t="s">
        <v>3724</v>
      </c>
      <c r="E25" s="3" t="s">
        <v>3725</v>
      </c>
      <c r="F25" s="3" t="s">
        <v>3727</v>
      </c>
      <c r="G25" s="3" t="s">
        <v>3729</v>
      </c>
      <c r="H25" s="3" t="s">
        <v>3730</v>
      </c>
      <c r="I25" s="3" t="s">
        <v>3731</v>
      </c>
      <c r="J25" s="3" t="s">
        <v>3732</v>
      </c>
      <c r="K25" s="40" t="s">
        <v>908</v>
      </c>
      <c r="L25" s="43" t="s">
        <v>3739</v>
      </c>
    </row>
    <row r="26">
      <c r="A26" s="3" t="s">
        <v>3742</v>
      </c>
      <c r="B26" s="3" t="s">
        <v>2243</v>
      </c>
      <c r="C26" s="3" t="s">
        <v>328</v>
      </c>
      <c r="D26" s="3" t="s">
        <v>3746</v>
      </c>
      <c r="E26" s="3" t="s">
        <v>3748</v>
      </c>
      <c r="F26" s="3" t="s">
        <v>3751</v>
      </c>
      <c r="G26" s="3" t="s">
        <v>2247</v>
      </c>
      <c r="H26" s="3" t="s">
        <v>3757</v>
      </c>
      <c r="I26" s="3" t="s">
        <v>3759</v>
      </c>
      <c r="J26" s="3" t="s">
        <v>3761</v>
      </c>
      <c r="K26" s="40" t="s">
        <v>641</v>
      </c>
      <c r="L26" s="43" t="s">
        <v>2252</v>
      </c>
    </row>
    <row r="27">
      <c r="A27" s="3" t="s">
        <v>3769</v>
      </c>
      <c r="B27" s="3" t="s">
        <v>3772</v>
      </c>
      <c r="C27" s="3" t="s">
        <v>328</v>
      </c>
      <c r="D27" s="3" t="s">
        <v>2261</v>
      </c>
      <c r="E27" s="3" t="s">
        <v>2811</v>
      </c>
      <c r="F27" s="3" t="s">
        <v>3778</v>
      </c>
      <c r="G27" s="3" t="s">
        <v>2267</v>
      </c>
      <c r="H27" s="3" t="s">
        <v>3780</v>
      </c>
      <c r="I27" s="3" t="s">
        <v>3783</v>
      </c>
      <c r="J27" s="3" t="s">
        <v>3786</v>
      </c>
      <c r="K27" s="40" t="s">
        <v>676</v>
      </c>
      <c r="L27" s="43" t="s">
        <v>2332</v>
      </c>
    </row>
    <row r="28">
      <c r="A28" s="3" t="s">
        <v>3855</v>
      </c>
      <c r="B28" s="3" t="s">
        <v>2335</v>
      </c>
      <c r="C28" s="3" t="s">
        <v>328</v>
      </c>
      <c r="D28" s="3" t="s">
        <v>2338</v>
      </c>
      <c r="E28" s="3" t="s">
        <v>3863</v>
      </c>
      <c r="F28" s="3" t="s">
        <v>3866</v>
      </c>
      <c r="G28" s="3" t="s">
        <v>2343</v>
      </c>
      <c r="H28" s="3" t="s">
        <v>3873</v>
      </c>
      <c r="I28" s="3" t="s">
        <v>3877</v>
      </c>
      <c r="J28" s="3" t="s">
        <v>2348</v>
      </c>
      <c r="K28" s="40" t="s">
        <v>676</v>
      </c>
      <c r="L28" s="43" t="s">
        <v>1128</v>
      </c>
    </row>
    <row r="29">
      <c r="A29" s="3" t="s">
        <v>3885</v>
      </c>
      <c r="B29" s="3" t="s">
        <v>2352</v>
      </c>
      <c r="C29" s="3" t="s">
        <v>333</v>
      </c>
      <c r="D29" s="3" t="s">
        <v>2354</v>
      </c>
      <c r="E29" s="3" t="s">
        <v>2972</v>
      </c>
      <c r="F29" s="3" t="s">
        <v>3894</v>
      </c>
      <c r="G29" s="3" t="s">
        <v>2361</v>
      </c>
      <c r="H29" s="3" t="s">
        <v>3898</v>
      </c>
      <c r="I29" s="3" t="s">
        <v>3900</v>
      </c>
      <c r="J29" s="3" t="s">
        <v>3901</v>
      </c>
      <c r="K29" s="40" t="s">
        <v>676</v>
      </c>
      <c r="L29" s="43" t="s">
        <v>2378</v>
      </c>
    </row>
  </sheetData>
  <autoFilter ref="$A$1:$L$29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</hyperlinks>
  <drawing r:id="rId2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5" width="21.38"/>
    <col customWidth="1" min="6" max="6" width="41.38"/>
    <col customWidth="1" min="7" max="10" width="22.63"/>
    <col customWidth="1" min="11" max="12" width="15.75"/>
    <col customWidth="1" min="13" max="15" width="31.38"/>
    <col customWidth="1" min="16" max="16" width="23.88"/>
    <col customWidth="1" min="17" max="17" width="36.38"/>
    <col customWidth="1" min="18" max="18" width="17.0"/>
  </cols>
  <sheetData>
    <row r="1" ht="31.5" customHeight="1">
      <c r="A1" s="42" t="s">
        <v>495</v>
      </c>
      <c r="B1" s="42" t="s">
        <v>7</v>
      </c>
      <c r="C1" s="42" t="s">
        <v>9</v>
      </c>
      <c r="D1" s="42" t="s">
        <v>498</v>
      </c>
      <c r="E1" s="42" t="s">
        <v>499</v>
      </c>
      <c r="F1" s="42" t="s">
        <v>500</v>
      </c>
      <c r="G1" s="42" t="s">
        <v>501</v>
      </c>
      <c r="H1" s="42" t="s">
        <v>404</v>
      </c>
      <c r="I1" s="42" t="s">
        <v>503</v>
      </c>
      <c r="J1" s="42" t="s">
        <v>505</v>
      </c>
      <c r="K1" s="42" t="s">
        <v>407</v>
      </c>
      <c r="L1" s="42" t="s">
        <v>410</v>
      </c>
      <c r="M1" s="42" t="s">
        <v>507</v>
      </c>
      <c r="N1" s="42" t="s">
        <v>508</v>
      </c>
      <c r="O1" s="42" t="s">
        <v>509</v>
      </c>
      <c r="P1" s="42" t="s">
        <v>34</v>
      </c>
      <c r="Q1" s="42" t="s">
        <v>37</v>
      </c>
      <c r="R1" s="42" t="s">
        <v>29</v>
      </c>
    </row>
    <row r="2">
      <c r="A2" s="3" t="s">
        <v>3113</v>
      </c>
      <c r="B2" s="3" t="s">
        <v>3114</v>
      </c>
      <c r="C2" s="3" t="s">
        <v>3115</v>
      </c>
      <c r="D2" s="3" t="s">
        <v>3119</v>
      </c>
      <c r="E2" s="3" t="s">
        <v>3121</v>
      </c>
      <c r="F2" s="3" t="s">
        <v>3125</v>
      </c>
      <c r="G2" s="3" t="s">
        <v>3128</v>
      </c>
      <c r="H2" s="3" t="s">
        <v>3130</v>
      </c>
      <c r="I2" s="3" t="s">
        <v>3132</v>
      </c>
      <c r="J2" s="3" t="s">
        <v>2385</v>
      </c>
      <c r="K2" s="3" t="s">
        <v>1422</v>
      </c>
      <c r="L2" s="3" t="s">
        <v>59</v>
      </c>
      <c r="M2" s="3" t="s">
        <v>3140</v>
      </c>
      <c r="N2" s="3" t="s">
        <v>3141</v>
      </c>
      <c r="O2" s="3" t="s">
        <v>3143</v>
      </c>
      <c r="P2" s="3" t="s">
        <v>3146</v>
      </c>
      <c r="Q2" s="40" t="s">
        <v>3151</v>
      </c>
      <c r="R2" s="43" t="s">
        <v>64</v>
      </c>
    </row>
    <row r="3">
      <c r="A3" s="3" t="s">
        <v>3201</v>
      </c>
      <c r="B3" s="3" t="s">
        <v>3204</v>
      </c>
      <c r="C3" s="3" t="s">
        <v>3207</v>
      </c>
      <c r="D3" s="3" t="s">
        <v>3211</v>
      </c>
      <c r="E3" s="3" t="s">
        <v>3214</v>
      </c>
      <c r="F3" s="3" t="s">
        <v>3215</v>
      </c>
      <c r="G3" s="3" t="s">
        <v>3216</v>
      </c>
      <c r="H3" s="3" t="s">
        <v>3216</v>
      </c>
      <c r="I3" s="3" t="s">
        <v>3204</v>
      </c>
      <c r="J3" s="3" t="s">
        <v>3222</v>
      </c>
      <c r="K3" s="3" t="s">
        <v>1422</v>
      </c>
      <c r="L3" s="3" t="s">
        <v>59</v>
      </c>
      <c r="M3" s="3" t="s">
        <v>3227</v>
      </c>
      <c r="N3" s="3" t="s">
        <v>3229</v>
      </c>
      <c r="O3" s="3" t="s">
        <v>3231</v>
      </c>
      <c r="P3" s="3" t="s">
        <v>3146</v>
      </c>
      <c r="Q3" s="40" t="s">
        <v>3151</v>
      </c>
      <c r="R3" s="43" t="s">
        <v>64</v>
      </c>
    </row>
    <row r="4">
      <c r="A4" s="3" t="s">
        <v>3243</v>
      </c>
      <c r="B4" s="3" t="s">
        <v>3204</v>
      </c>
      <c r="C4" s="3" t="s">
        <v>3207</v>
      </c>
      <c r="D4" s="3" t="s">
        <v>3249</v>
      </c>
      <c r="E4" s="3" t="s">
        <v>3251</v>
      </c>
      <c r="F4" s="3" t="s">
        <v>3254</v>
      </c>
      <c r="G4" s="3" t="s">
        <v>3216</v>
      </c>
      <c r="H4" s="3" t="s">
        <v>3216</v>
      </c>
      <c r="I4" s="3" t="s">
        <v>3260</v>
      </c>
      <c r="J4" s="3" t="s">
        <v>3263</v>
      </c>
      <c r="K4" s="3" t="s">
        <v>1422</v>
      </c>
      <c r="L4" s="3" t="s">
        <v>59</v>
      </c>
      <c r="M4" s="3" t="s">
        <v>3268</v>
      </c>
      <c r="N4" s="3" t="s">
        <v>3271</v>
      </c>
      <c r="O4" s="3" t="s">
        <v>3273</v>
      </c>
      <c r="P4" s="3" t="s">
        <v>3146</v>
      </c>
      <c r="Q4" s="40" t="s">
        <v>3151</v>
      </c>
      <c r="R4" s="43" t="s">
        <v>64</v>
      </c>
    </row>
    <row r="5">
      <c r="A5" s="3" t="s">
        <v>3283</v>
      </c>
      <c r="B5" s="3" t="s">
        <v>3204</v>
      </c>
      <c r="C5" s="3" t="s">
        <v>3286</v>
      </c>
      <c r="D5" s="3" t="s">
        <v>3289</v>
      </c>
      <c r="E5" s="3" t="s">
        <v>3291</v>
      </c>
      <c r="F5" s="3" t="s">
        <v>3293</v>
      </c>
      <c r="G5" s="3" t="s">
        <v>3296</v>
      </c>
      <c r="H5" s="3" t="s">
        <v>3297</v>
      </c>
      <c r="I5" s="3" t="s">
        <v>3300</v>
      </c>
      <c r="J5" s="3" t="s">
        <v>3302</v>
      </c>
      <c r="K5" s="3" t="s">
        <v>1422</v>
      </c>
      <c r="L5" s="3" t="s">
        <v>59</v>
      </c>
      <c r="M5" s="3" t="s">
        <v>3303</v>
      </c>
      <c r="N5" s="3" t="s">
        <v>3304</v>
      </c>
      <c r="O5" s="3" t="s">
        <v>3306</v>
      </c>
      <c r="P5" s="3" t="s">
        <v>3146</v>
      </c>
      <c r="Q5" s="40" t="s">
        <v>3151</v>
      </c>
      <c r="R5" s="43" t="s">
        <v>64</v>
      </c>
    </row>
    <row r="6">
      <c r="A6" s="3" t="s">
        <v>3310</v>
      </c>
      <c r="B6" s="3" t="s">
        <v>3311</v>
      </c>
      <c r="C6" s="3" t="s">
        <v>3286</v>
      </c>
      <c r="D6" s="3" t="s">
        <v>3312</v>
      </c>
      <c r="E6" s="3" t="s">
        <v>3314</v>
      </c>
      <c r="F6" s="3" t="s">
        <v>3316</v>
      </c>
      <c r="G6" s="3" t="s">
        <v>3317</v>
      </c>
      <c r="H6" s="3" t="s">
        <v>3216</v>
      </c>
      <c r="I6" s="3" t="s">
        <v>3320</v>
      </c>
      <c r="J6" s="3" t="s">
        <v>566</v>
      </c>
      <c r="K6" s="3" t="s">
        <v>1422</v>
      </c>
      <c r="L6" s="3" t="s">
        <v>59</v>
      </c>
      <c r="M6" s="3" t="s">
        <v>3328</v>
      </c>
      <c r="N6" s="3" t="s">
        <v>3331</v>
      </c>
      <c r="O6" s="3" t="s">
        <v>3333</v>
      </c>
      <c r="P6" s="3" t="s">
        <v>3146</v>
      </c>
      <c r="Q6" s="40" t="s">
        <v>3151</v>
      </c>
      <c r="R6" s="43" t="s">
        <v>64</v>
      </c>
    </row>
    <row r="7">
      <c r="A7" s="3" t="s">
        <v>3340</v>
      </c>
      <c r="B7" s="3" t="s">
        <v>3204</v>
      </c>
      <c r="C7" s="3" t="s">
        <v>3344</v>
      </c>
      <c r="D7" s="3" t="s">
        <v>3348</v>
      </c>
      <c r="E7" s="3" t="s">
        <v>3350</v>
      </c>
      <c r="F7" s="3" t="s">
        <v>3352</v>
      </c>
      <c r="G7" s="3" t="s">
        <v>3216</v>
      </c>
      <c r="H7" s="3" t="s">
        <v>3216</v>
      </c>
      <c r="I7" s="3" t="s">
        <v>3358</v>
      </c>
      <c r="J7" s="3" t="s">
        <v>3361</v>
      </c>
      <c r="K7" s="3" t="s">
        <v>1422</v>
      </c>
      <c r="L7" s="3" t="s">
        <v>59</v>
      </c>
      <c r="M7" s="3" t="s">
        <v>3364</v>
      </c>
      <c r="N7" s="3" t="s">
        <v>3366</v>
      </c>
      <c r="O7" s="3" t="s">
        <v>3368</v>
      </c>
      <c r="P7" s="3" t="s">
        <v>3146</v>
      </c>
      <c r="Q7" s="40" t="s">
        <v>3151</v>
      </c>
      <c r="R7" s="43" t="s">
        <v>64</v>
      </c>
    </row>
    <row r="8">
      <c r="A8" s="3" t="s">
        <v>3376</v>
      </c>
      <c r="B8" s="3" t="s">
        <v>3204</v>
      </c>
      <c r="C8" s="3" t="s">
        <v>3344</v>
      </c>
      <c r="D8" s="3" t="s">
        <v>3385</v>
      </c>
      <c r="E8" s="3" t="s">
        <v>3387</v>
      </c>
      <c r="F8" s="3" t="s">
        <v>3390</v>
      </c>
      <c r="G8" s="3" t="s">
        <v>3216</v>
      </c>
      <c r="H8" s="3" t="s">
        <v>3216</v>
      </c>
      <c r="I8" s="3" t="s">
        <v>3397</v>
      </c>
      <c r="J8" s="3" t="s">
        <v>3399</v>
      </c>
      <c r="K8" s="3" t="s">
        <v>1422</v>
      </c>
      <c r="L8" s="3" t="s">
        <v>196</v>
      </c>
      <c r="M8" s="3" t="s">
        <v>3404</v>
      </c>
      <c r="N8" s="3" t="s">
        <v>3405</v>
      </c>
      <c r="O8" s="3" t="s">
        <v>3407</v>
      </c>
      <c r="P8" s="3" t="s">
        <v>3146</v>
      </c>
      <c r="Q8" s="40" t="s">
        <v>3151</v>
      </c>
      <c r="R8" s="43" t="s">
        <v>64</v>
      </c>
    </row>
    <row r="9">
      <c r="A9" s="3" t="s">
        <v>3417</v>
      </c>
      <c r="B9" s="3" t="s">
        <v>3420</v>
      </c>
      <c r="C9" s="3" t="s">
        <v>3423</v>
      </c>
      <c r="D9" s="3" t="s">
        <v>3427</v>
      </c>
      <c r="E9" s="3" t="s">
        <v>3430</v>
      </c>
      <c r="F9" s="3" t="s">
        <v>3432</v>
      </c>
      <c r="G9" s="3" t="s">
        <v>3435</v>
      </c>
      <c r="H9" s="3" t="s">
        <v>3216</v>
      </c>
      <c r="I9" s="3" t="s">
        <v>3440</v>
      </c>
      <c r="J9" s="3" t="s">
        <v>3443</v>
      </c>
      <c r="K9" s="3" t="s">
        <v>1422</v>
      </c>
      <c r="L9" s="3" t="s">
        <v>59</v>
      </c>
      <c r="M9" s="3" t="s">
        <v>3447</v>
      </c>
      <c r="N9" s="3" t="s">
        <v>3448</v>
      </c>
      <c r="O9" s="3" t="s">
        <v>3451</v>
      </c>
      <c r="P9" s="3" t="s">
        <v>3146</v>
      </c>
      <c r="Q9" s="40" t="s">
        <v>3151</v>
      </c>
      <c r="R9" s="43" t="s">
        <v>64</v>
      </c>
    </row>
    <row r="10">
      <c r="A10" s="3" t="s">
        <v>3456</v>
      </c>
      <c r="B10" s="3" t="s">
        <v>3457</v>
      </c>
      <c r="C10" s="3" t="s">
        <v>3423</v>
      </c>
      <c r="D10" s="3" t="s">
        <v>3461</v>
      </c>
      <c r="E10" s="3" t="s">
        <v>3464</v>
      </c>
      <c r="F10" s="3" t="s">
        <v>3468</v>
      </c>
      <c r="G10" s="3" t="s">
        <v>3470</v>
      </c>
      <c r="H10" s="3" t="s">
        <v>3216</v>
      </c>
      <c r="I10" s="3" t="s">
        <v>3475</v>
      </c>
      <c r="J10" s="3" t="s">
        <v>3478</v>
      </c>
      <c r="K10" s="3" t="s">
        <v>1422</v>
      </c>
      <c r="L10" s="3" t="s">
        <v>59</v>
      </c>
      <c r="M10" s="3" t="s">
        <v>3484</v>
      </c>
      <c r="N10" s="3" t="s">
        <v>3486</v>
      </c>
      <c r="O10" s="3" t="s">
        <v>3493</v>
      </c>
      <c r="P10" s="3" t="s">
        <v>3146</v>
      </c>
      <c r="Q10" s="40" t="s">
        <v>3151</v>
      </c>
      <c r="R10" s="43" t="s">
        <v>64</v>
      </c>
    </row>
    <row r="11">
      <c r="A11" s="3" t="s">
        <v>3502</v>
      </c>
      <c r="B11" s="3" t="s">
        <v>3204</v>
      </c>
      <c r="C11" s="3" t="s">
        <v>3505</v>
      </c>
      <c r="D11" s="3" t="s">
        <v>3507</v>
      </c>
      <c r="E11" s="3" t="s">
        <v>3509</v>
      </c>
      <c r="F11" s="3" t="s">
        <v>3517</v>
      </c>
      <c r="G11" s="3" t="s">
        <v>3520</v>
      </c>
      <c r="H11" s="3" t="s">
        <v>3216</v>
      </c>
      <c r="I11" s="3" t="s">
        <v>3358</v>
      </c>
      <c r="J11" s="3" t="s">
        <v>566</v>
      </c>
      <c r="K11" s="3" t="s">
        <v>1422</v>
      </c>
      <c r="L11" s="3" t="s">
        <v>59</v>
      </c>
      <c r="M11" s="3" t="s">
        <v>3533</v>
      </c>
      <c r="N11" s="3" t="s">
        <v>3536</v>
      </c>
      <c r="O11" s="3" t="s">
        <v>3540</v>
      </c>
      <c r="P11" s="3" t="s">
        <v>3146</v>
      </c>
      <c r="Q11" s="40" t="s">
        <v>3151</v>
      </c>
      <c r="R11" s="43" t="s">
        <v>64</v>
      </c>
    </row>
    <row r="12">
      <c r="A12" s="3" t="s">
        <v>3548</v>
      </c>
      <c r="B12" s="3" t="s">
        <v>3550</v>
      </c>
      <c r="C12" s="3" t="s">
        <v>3552</v>
      </c>
      <c r="D12" s="3" t="s">
        <v>3555</v>
      </c>
      <c r="E12" s="3" t="s">
        <v>3557</v>
      </c>
      <c r="F12" s="3" t="s">
        <v>3559</v>
      </c>
      <c r="G12" s="3" t="s">
        <v>3216</v>
      </c>
      <c r="H12" s="3" t="s">
        <v>3216</v>
      </c>
      <c r="I12" s="3" t="s">
        <v>3358</v>
      </c>
      <c r="J12" s="3" t="s">
        <v>3361</v>
      </c>
      <c r="K12" s="3" t="s">
        <v>1422</v>
      </c>
      <c r="L12" s="3" t="s">
        <v>59</v>
      </c>
      <c r="M12" s="3" t="s">
        <v>3567</v>
      </c>
      <c r="N12" s="3" t="s">
        <v>3569</v>
      </c>
      <c r="O12" s="3" t="s">
        <v>3571</v>
      </c>
      <c r="P12" s="3" t="s">
        <v>3146</v>
      </c>
      <c r="Q12" s="40" t="s">
        <v>3151</v>
      </c>
      <c r="R12" s="43" t="s">
        <v>64</v>
      </c>
    </row>
    <row r="13">
      <c r="A13" s="3" t="s">
        <v>3579</v>
      </c>
      <c r="B13" s="3" t="s">
        <v>3581</v>
      </c>
      <c r="C13" s="3" t="s">
        <v>3552</v>
      </c>
      <c r="D13" s="3" t="s">
        <v>3584</v>
      </c>
      <c r="E13" s="3" t="s">
        <v>3587</v>
      </c>
      <c r="F13" s="3" t="s">
        <v>3589</v>
      </c>
      <c r="G13" s="3" t="s">
        <v>3470</v>
      </c>
      <c r="H13" s="3" t="s">
        <v>3216</v>
      </c>
      <c r="I13" s="3" t="s">
        <v>3593</v>
      </c>
      <c r="J13" s="3" t="s">
        <v>3478</v>
      </c>
      <c r="K13" s="3" t="s">
        <v>1422</v>
      </c>
      <c r="L13" s="3" t="s">
        <v>59</v>
      </c>
      <c r="M13" s="3" t="s">
        <v>3596</v>
      </c>
      <c r="N13" s="3" t="s">
        <v>3598</v>
      </c>
      <c r="O13" s="3" t="s">
        <v>3601</v>
      </c>
      <c r="P13" s="3" t="s">
        <v>3146</v>
      </c>
      <c r="Q13" s="40" t="s">
        <v>3151</v>
      </c>
      <c r="R13" s="43" t="s">
        <v>64</v>
      </c>
    </row>
    <row r="14">
      <c r="A14" s="3" t="s">
        <v>3610</v>
      </c>
      <c r="B14" s="3" t="s">
        <v>3550</v>
      </c>
      <c r="C14" s="3" t="s">
        <v>3613</v>
      </c>
      <c r="D14" s="3" t="s">
        <v>3616</v>
      </c>
      <c r="E14" s="3" t="s">
        <v>3619</v>
      </c>
      <c r="F14" s="3" t="s">
        <v>3621</v>
      </c>
      <c r="G14" s="3" t="s">
        <v>3216</v>
      </c>
      <c r="H14" s="3" t="s">
        <v>3216</v>
      </c>
      <c r="I14" s="3" t="s">
        <v>3550</v>
      </c>
      <c r="J14" s="3" t="s">
        <v>2579</v>
      </c>
      <c r="K14" s="3" t="s">
        <v>1422</v>
      </c>
      <c r="L14" s="3" t="s">
        <v>59</v>
      </c>
      <c r="M14" s="3" t="s">
        <v>3626</v>
      </c>
      <c r="N14" s="3" t="s">
        <v>3628</v>
      </c>
      <c r="O14" s="3" t="s">
        <v>3629</v>
      </c>
      <c r="P14" s="3" t="s">
        <v>3146</v>
      </c>
      <c r="Q14" s="40" t="s">
        <v>3151</v>
      </c>
      <c r="R14" s="43" t="s">
        <v>64</v>
      </c>
    </row>
    <row r="15">
      <c r="A15" s="3" t="s">
        <v>3633</v>
      </c>
      <c r="B15" s="3" t="s">
        <v>3550</v>
      </c>
      <c r="C15" s="3" t="s">
        <v>3613</v>
      </c>
      <c r="D15" s="3" t="s">
        <v>3635</v>
      </c>
      <c r="E15" s="3" t="s">
        <v>3636</v>
      </c>
      <c r="F15" s="3" t="s">
        <v>3637</v>
      </c>
      <c r="G15" s="3" t="s">
        <v>3216</v>
      </c>
      <c r="H15" s="3" t="s">
        <v>3216</v>
      </c>
      <c r="I15" s="3" t="s">
        <v>3638</v>
      </c>
      <c r="J15" s="3" t="s">
        <v>3639</v>
      </c>
      <c r="K15" s="3" t="s">
        <v>1422</v>
      </c>
      <c r="L15" s="3" t="s">
        <v>59</v>
      </c>
      <c r="M15" s="3" t="s">
        <v>3640</v>
      </c>
      <c r="N15" s="3" t="s">
        <v>3641</v>
      </c>
      <c r="O15" s="3" t="s">
        <v>3642</v>
      </c>
      <c r="P15" s="3" t="s">
        <v>3146</v>
      </c>
      <c r="Q15" s="40" t="s">
        <v>3151</v>
      </c>
      <c r="R15" s="43" t="s">
        <v>64</v>
      </c>
    </row>
    <row r="16">
      <c r="A16" s="3" t="s">
        <v>3643</v>
      </c>
      <c r="B16" s="3" t="s">
        <v>965</v>
      </c>
      <c r="C16" s="3" t="s">
        <v>3644</v>
      </c>
      <c r="D16" s="3" t="s">
        <v>3645</v>
      </c>
      <c r="E16" s="3" t="s">
        <v>3646</v>
      </c>
      <c r="F16" s="3" t="s">
        <v>3647</v>
      </c>
      <c r="G16" s="3" t="s">
        <v>3648</v>
      </c>
      <c r="H16" s="3" t="s">
        <v>3216</v>
      </c>
      <c r="I16" s="3" t="s">
        <v>3649</v>
      </c>
      <c r="J16" s="3" t="s">
        <v>3650</v>
      </c>
      <c r="K16" s="3" t="s">
        <v>1422</v>
      </c>
      <c r="L16" s="3" t="s">
        <v>59</v>
      </c>
      <c r="M16" s="3" t="s">
        <v>3651</v>
      </c>
      <c r="N16" s="3" t="s">
        <v>3652</v>
      </c>
      <c r="O16" s="3" t="s">
        <v>3653</v>
      </c>
      <c r="P16" s="3" t="s">
        <v>3146</v>
      </c>
      <c r="Q16" s="40" t="s">
        <v>3151</v>
      </c>
      <c r="R16" s="43" t="s">
        <v>64</v>
      </c>
    </row>
    <row r="17">
      <c r="A17" s="3" t="s">
        <v>3654</v>
      </c>
      <c r="B17" s="3" t="s">
        <v>3656</v>
      </c>
      <c r="C17" s="3" t="s">
        <v>3644</v>
      </c>
      <c r="D17" s="3" t="s">
        <v>3658</v>
      </c>
      <c r="E17" s="3" t="s">
        <v>3660</v>
      </c>
      <c r="F17" s="3" t="s">
        <v>3661</v>
      </c>
      <c r="G17" s="3" t="s">
        <v>3216</v>
      </c>
      <c r="H17" s="3" t="s">
        <v>3216</v>
      </c>
      <c r="I17" s="3" t="s">
        <v>3665</v>
      </c>
      <c r="J17" s="3" t="s">
        <v>2455</v>
      </c>
      <c r="K17" s="3" t="s">
        <v>1422</v>
      </c>
      <c r="L17" s="3" t="s">
        <v>59</v>
      </c>
      <c r="M17" s="3" t="s">
        <v>3668</v>
      </c>
      <c r="N17" s="3" t="s">
        <v>3669</v>
      </c>
      <c r="O17" s="3" t="s">
        <v>3670</v>
      </c>
      <c r="P17" s="3" t="s">
        <v>3146</v>
      </c>
      <c r="Q17" s="40" t="s">
        <v>3151</v>
      </c>
      <c r="R17" s="43" t="s">
        <v>64</v>
      </c>
    </row>
    <row r="18">
      <c r="A18" s="3" t="s">
        <v>3672</v>
      </c>
      <c r="B18" s="3" t="s">
        <v>3114</v>
      </c>
      <c r="C18" s="3" t="s">
        <v>3644</v>
      </c>
      <c r="D18" s="3" t="s">
        <v>3674</v>
      </c>
      <c r="E18" s="3" t="s">
        <v>3675</v>
      </c>
      <c r="F18" s="3" t="s">
        <v>3677</v>
      </c>
      <c r="G18" s="3" t="s">
        <v>3216</v>
      </c>
      <c r="H18" s="3" t="s">
        <v>3679</v>
      </c>
      <c r="I18" s="3" t="s">
        <v>3114</v>
      </c>
      <c r="J18" s="3" t="s">
        <v>3680</v>
      </c>
      <c r="K18" s="3" t="s">
        <v>1422</v>
      </c>
      <c r="L18" s="3" t="s">
        <v>59</v>
      </c>
      <c r="M18" s="3" t="s">
        <v>3683</v>
      </c>
      <c r="N18" s="3" t="s">
        <v>3685</v>
      </c>
      <c r="O18" s="3" t="s">
        <v>3686</v>
      </c>
      <c r="P18" s="3" t="s">
        <v>3146</v>
      </c>
      <c r="Q18" s="40" t="s">
        <v>3151</v>
      </c>
      <c r="R18" s="43" t="s">
        <v>64</v>
      </c>
    </row>
    <row r="19">
      <c r="A19" s="3" t="s">
        <v>3689</v>
      </c>
      <c r="B19" s="3" t="s">
        <v>965</v>
      </c>
      <c r="C19" s="3" t="s">
        <v>3691</v>
      </c>
      <c r="D19" s="3" t="s">
        <v>3693</v>
      </c>
      <c r="E19" s="3" t="s">
        <v>3694</v>
      </c>
      <c r="F19" s="3" t="s">
        <v>3696</v>
      </c>
      <c r="G19" s="3" t="s">
        <v>3697</v>
      </c>
      <c r="H19" s="3" t="s">
        <v>3216</v>
      </c>
      <c r="I19" s="3" t="s">
        <v>3700</v>
      </c>
      <c r="J19" s="3" t="s">
        <v>3702</v>
      </c>
      <c r="K19" s="3" t="s">
        <v>1422</v>
      </c>
      <c r="L19" s="3" t="s">
        <v>59</v>
      </c>
      <c r="M19" s="3" t="s">
        <v>3703</v>
      </c>
      <c r="N19" s="3" t="s">
        <v>3704</v>
      </c>
      <c r="O19" s="3" t="s">
        <v>3706</v>
      </c>
      <c r="P19" s="3" t="s">
        <v>3146</v>
      </c>
      <c r="Q19" s="40" t="s">
        <v>3151</v>
      </c>
      <c r="R19" s="43" t="s">
        <v>64</v>
      </c>
    </row>
    <row r="20">
      <c r="A20" s="3" t="s">
        <v>3710</v>
      </c>
      <c r="B20" s="3" t="s">
        <v>3711</v>
      </c>
      <c r="C20" s="3" t="s">
        <v>3691</v>
      </c>
      <c r="D20" s="3" t="s">
        <v>3714</v>
      </c>
      <c r="E20" s="3" t="s">
        <v>3716</v>
      </c>
      <c r="F20" s="3" t="s">
        <v>3717</v>
      </c>
      <c r="G20" s="3" t="s">
        <v>3216</v>
      </c>
      <c r="H20" s="3" t="s">
        <v>3718</v>
      </c>
      <c r="I20" s="3" t="s">
        <v>3719</v>
      </c>
      <c r="J20" s="3" t="s">
        <v>3721</v>
      </c>
      <c r="K20" s="3" t="s">
        <v>1422</v>
      </c>
      <c r="L20" s="3" t="s">
        <v>59</v>
      </c>
      <c r="M20" s="3" t="s">
        <v>3723</v>
      </c>
      <c r="N20" s="3" t="s">
        <v>3726</v>
      </c>
      <c r="O20" s="3" t="s">
        <v>3728</v>
      </c>
      <c r="P20" s="3" t="s">
        <v>3146</v>
      </c>
      <c r="Q20" s="40" t="s">
        <v>3151</v>
      </c>
      <c r="R20" s="43" t="s">
        <v>64</v>
      </c>
    </row>
    <row r="21">
      <c r="A21" s="3" t="s">
        <v>3733</v>
      </c>
      <c r="B21" s="3" t="s">
        <v>965</v>
      </c>
      <c r="C21" s="3" t="s">
        <v>3691</v>
      </c>
      <c r="D21" s="3" t="s">
        <v>3734</v>
      </c>
      <c r="E21" s="3" t="s">
        <v>3735</v>
      </c>
      <c r="F21" s="3" t="s">
        <v>3736</v>
      </c>
      <c r="G21" s="3" t="s">
        <v>3648</v>
      </c>
      <c r="H21" s="3" t="s">
        <v>3216</v>
      </c>
      <c r="I21" s="3" t="s">
        <v>3649</v>
      </c>
      <c r="J21" s="3" t="s">
        <v>2071</v>
      </c>
      <c r="K21" s="3" t="s">
        <v>1422</v>
      </c>
      <c r="L21" s="3" t="s">
        <v>59</v>
      </c>
      <c r="M21" s="3" t="s">
        <v>3737</v>
      </c>
      <c r="N21" s="3" t="s">
        <v>3738</v>
      </c>
      <c r="O21" s="3" t="s">
        <v>3740</v>
      </c>
      <c r="P21" s="3" t="s">
        <v>3146</v>
      </c>
      <c r="Q21" s="40" t="s">
        <v>3151</v>
      </c>
      <c r="R21" s="43" t="s">
        <v>64</v>
      </c>
    </row>
    <row r="22">
      <c r="A22" s="3" t="s">
        <v>3747</v>
      </c>
      <c r="B22" s="3" t="s">
        <v>965</v>
      </c>
      <c r="C22" s="3" t="s">
        <v>3750</v>
      </c>
      <c r="D22" s="3" t="s">
        <v>3753</v>
      </c>
      <c r="E22" s="3" t="s">
        <v>3755</v>
      </c>
      <c r="F22" s="3" t="s">
        <v>3758</v>
      </c>
      <c r="G22" s="3" t="s">
        <v>3648</v>
      </c>
      <c r="H22" s="3" t="s">
        <v>3216</v>
      </c>
      <c r="I22" s="3" t="s">
        <v>3763</v>
      </c>
      <c r="J22" s="3" t="s">
        <v>3765</v>
      </c>
      <c r="K22" s="3" t="s">
        <v>1422</v>
      </c>
      <c r="L22" s="3" t="s">
        <v>59</v>
      </c>
      <c r="M22" s="3" t="s">
        <v>3771</v>
      </c>
      <c r="N22" s="3" t="s">
        <v>3773</v>
      </c>
      <c r="O22" s="3" t="s">
        <v>3775</v>
      </c>
      <c r="P22" s="3" t="s">
        <v>3146</v>
      </c>
      <c r="Q22" s="40" t="s">
        <v>3151</v>
      </c>
      <c r="R22" s="43" t="s">
        <v>64</v>
      </c>
    </row>
    <row r="23">
      <c r="A23" s="3" t="s">
        <v>3779</v>
      </c>
      <c r="B23" s="3" t="s">
        <v>965</v>
      </c>
      <c r="C23" s="3" t="s">
        <v>3782</v>
      </c>
      <c r="D23" s="3" t="s">
        <v>3785</v>
      </c>
      <c r="E23" s="3" t="s">
        <v>3788</v>
      </c>
      <c r="F23" s="3" t="s">
        <v>3790</v>
      </c>
      <c r="G23" s="3" t="s">
        <v>3648</v>
      </c>
      <c r="H23" s="3" t="s">
        <v>3792</v>
      </c>
      <c r="I23" s="3" t="s">
        <v>3649</v>
      </c>
      <c r="J23" s="3" t="s">
        <v>3795</v>
      </c>
      <c r="K23" s="3" t="s">
        <v>1422</v>
      </c>
      <c r="L23" s="3" t="s">
        <v>59</v>
      </c>
      <c r="M23" s="3" t="s">
        <v>3798</v>
      </c>
      <c r="N23" s="3" t="s">
        <v>3800</v>
      </c>
      <c r="O23" s="3" t="s">
        <v>3802</v>
      </c>
      <c r="P23" s="3" t="s">
        <v>3146</v>
      </c>
      <c r="Q23" s="40" t="s">
        <v>3151</v>
      </c>
      <c r="R23" s="43" t="s">
        <v>64</v>
      </c>
    </row>
    <row r="24">
      <c r="A24" s="3" t="s">
        <v>3807</v>
      </c>
      <c r="B24" s="3" t="s">
        <v>965</v>
      </c>
      <c r="C24" s="3" t="s">
        <v>3810</v>
      </c>
      <c r="D24" s="3" t="s">
        <v>3812</v>
      </c>
      <c r="E24" s="3" t="s">
        <v>3814</v>
      </c>
      <c r="F24" s="3" t="s">
        <v>3817</v>
      </c>
      <c r="G24" s="3" t="s">
        <v>3818</v>
      </c>
      <c r="H24" s="3" t="s">
        <v>3216</v>
      </c>
      <c r="I24" s="3" t="s">
        <v>3821</v>
      </c>
      <c r="J24" s="3" t="s">
        <v>3823</v>
      </c>
      <c r="K24" s="3" t="s">
        <v>1422</v>
      </c>
      <c r="L24" s="3" t="s">
        <v>196</v>
      </c>
      <c r="M24" s="3" t="s">
        <v>3827</v>
      </c>
      <c r="N24" s="3" t="s">
        <v>3829</v>
      </c>
      <c r="O24" s="3" t="s">
        <v>3831</v>
      </c>
      <c r="P24" s="3" t="s">
        <v>3146</v>
      </c>
      <c r="Q24" s="40" t="s">
        <v>3151</v>
      </c>
      <c r="R24" s="43" t="s">
        <v>64</v>
      </c>
    </row>
    <row r="25">
      <c r="A25" s="3" t="s">
        <v>3835</v>
      </c>
      <c r="B25" s="3" t="s">
        <v>965</v>
      </c>
      <c r="C25" s="3" t="s">
        <v>3810</v>
      </c>
      <c r="D25" s="3" t="s">
        <v>3839</v>
      </c>
      <c r="E25" s="3" t="s">
        <v>3841</v>
      </c>
      <c r="F25" s="3" t="s">
        <v>3843</v>
      </c>
      <c r="G25" s="3" t="s">
        <v>3845</v>
      </c>
      <c r="H25" s="3" t="s">
        <v>3792</v>
      </c>
      <c r="I25" s="3" t="s">
        <v>3847</v>
      </c>
      <c r="J25" s="3" t="s">
        <v>3850</v>
      </c>
      <c r="K25" s="3" t="s">
        <v>1422</v>
      </c>
      <c r="L25" s="3" t="s">
        <v>196</v>
      </c>
      <c r="M25" s="3" t="s">
        <v>3852</v>
      </c>
      <c r="N25" s="3" t="s">
        <v>3854</v>
      </c>
      <c r="O25" s="3" t="s">
        <v>3856</v>
      </c>
      <c r="P25" s="3" t="s">
        <v>3146</v>
      </c>
      <c r="Q25" s="40" t="s">
        <v>3151</v>
      </c>
      <c r="R25" s="43" t="s">
        <v>64</v>
      </c>
    </row>
    <row r="26">
      <c r="A26" s="3" t="s">
        <v>3865</v>
      </c>
      <c r="B26" s="3" t="s">
        <v>3656</v>
      </c>
      <c r="C26" s="3" t="s">
        <v>3868</v>
      </c>
      <c r="D26" s="3" t="s">
        <v>3869</v>
      </c>
      <c r="E26" s="3" t="s">
        <v>3881</v>
      </c>
      <c r="F26" s="3" t="s">
        <v>3883</v>
      </c>
      <c r="G26" s="3" t="s">
        <v>3886</v>
      </c>
      <c r="H26" s="3" t="s">
        <v>3792</v>
      </c>
      <c r="I26" s="3" t="s">
        <v>3889</v>
      </c>
      <c r="J26" s="3" t="s">
        <v>3891</v>
      </c>
      <c r="K26" s="3" t="s">
        <v>1422</v>
      </c>
      <c r="L26" s="3" t="s">
        <v>59</v>
      </c>
      <c r="M26" s="3" t="s">
        <v>3895</v>
      </c>
      <c r="N26" s="3" t="s">
        <v>3896</v>
      </c>
      <c r="O26" s="3" t="s">
        <v>3899</v>
      </c>
      <c r="P26" s="3" t="s">
        <v>3146</v>
      </c>
      <c r="Q26" s="40" t="s">
        <v>3151</v>
      </c>
      <c r="R26" s="43" t="s">
        <v>64</v>
      </c>
    </row>
    <row r="27">
      <c r="A27" s="3" t="s">
        <v>3904</v>
      </c>
      <c r="B27" s="3" t="s">
        <v>3711</v>
      </c>
      <c r="C27" s="3" t="s">
        <v>3868</v>
      </c>
      <c r="D27" s="3" t="s">
        <v>3908</v>
      </c>
      <c r="E27" s="3" t="s">
        <v>3909</v>
      </c>
      <c r="F27" s="3" t="s">
        <v>3910</v>
      </c>
      <c r="G27" s="3" t="s">
        <v>3470</v>
      </c>
      <c r="H27" s="3" t="s">
        <v>3216</v>
      </c>
      <c r="I27" s="3" t="s">
        <v>3913</v>
      </c>
      <c r="J27" s="3" t="s">
        <v>3916</v>
      </c>
      <c r="K27" s="3" t="s">
        <v>1422</v>
      </c>
      <c r="L27" s="3" t="s">
        <v>59</v>
      </c>
      <c r="M27" s="3" t="s">
        <v>3921</v>
      </c>
      <c r="N27" s="3" t="s">
        <v>3924</v>
      </c>
      <c r="O27" s="3" t="s">
        <v>3926</v>
      </c>
      <c r="P27" s="3" t="s">
        <v>3146</v>
      </c>
      <c r="Q27" s="40" t="s">
        <v>3151</v>
      </c>
      <c r="R27" s="43" t="s">
        <v>64</v>
      </c>
    </row>
    <row r="28">
      <c r="A28" s="3" t="s">
        <v>3934</v>
      </c>
      <c r="B28" s="3" t="s">
        <v>3711</v>
      </c>
      <c r="C28" s="3" t="s">
        <v>3937</v>
      </c>
      <c r="D28" s="3" t="s">
        <v>3939</v>
      </c>
      <c r="E28" s="3" t="s">
        <v>3942</v>
      </c>
      <c r="F28" s="3" t="s">
        <v>3943</v>
      </c>
      <c r="G28" s="3" t="s">
        <v>3945</v>
      </c>
      <c r="H28" s="3" t="s">
        <v>3947</v>
      </c>
      <c r="I28" s="3" t="s">
        <v>3711</v>
      </c>
      <c r="J28" s="3" t="s">
        <v>3951</v>
      </c>
      <c r="K28" s="3" t="s">
        <v>1422</v>
      </c>
      <c r="L28" s="3" t="s">
        <v>59</v>
      </c>
      <c r="M28" s="3" t="s">
        <v>3955</v>
      </c>
      <c r="N28" s="3" t="s">
        <v>3958</v>
      </c>
      <c r="O28" s="3" t="s">
        <v>3961</v>
      </c>
      <c r="P28" s="3" t="s">
        <v>3146</v>
      </c>
      <c r="Q28" s="40" t="s">
        <v>3151</v>
      </c>
      <c r="R28" s="43" t="s">
        <v>64</v>
      </c>
    </row>
    <row r="29">
      <c r="A29" s="3" t="s">
        <v>3968</v>
      </c>
      <c r="B29" s="3" t="s">
        <v>3970</v>
      </c>
      <c r="C29" s="3" t="s">
        <v>3937</v>
      </c>
      <c r="D29" s="3" t="s">
        <v>3975</v>
      </c>
      <c r="E29" s="3" t="s">
        <v>3978</v>
      </c>
      <c r="F29" s="3" t="s">
        <v>3982</v>
      </c>
      <c r="G29" s="3" t="s">
        <v>3984</v>
      </c>
      <c r="H29" s="3" t="s">
        <v>3986</v>
      </c>
      <c r="I29" s="3" t="s">
        <v>3987</v>
      </c>
      <c r="J29" s="3" t="s">
        <v>3989</v>
      </c>
      <c r="K29" s="3" t="s">
        <v>1422</v>
      </c>
      <c r="L29" s="3" t="s">
        <v>59</v>
      </c>
      <c r="M29" s="3" t="s">
        <v>3994</v>
      </c>
      <c r="N29" s="3" t="s">
        <v>3996</v>
      </c>
      <c r="O29" s="3" t="s">
        <v>3999</v>
      </c>
      <c r="P29" s="3" t="s">
        <v>3146</v>
      </c>
      <c r="Q29" s="40" t="s">
        <v>3151</v>
      </c>
      <c r="R29" s="43" t="s">
        <v>64</v>
      </c>
    </row>
    <row r="30">
      <c r="A30" s="3" t="s">
        <v>4008</v>
      </c>
      <c r="B30" s="3" t="s">
        <v>3970</v>
      </c>
      <c r="C30" s="3" t="s">
        <v>3937</v>
      </c>
      <c r="D30" s="3" t="s">
        <v>4012</v>
      </c>
      <c r="E30" s="3" t="s">
        <v>4015</v>
      </c>
      <c r="F30" s="3" t="s">
        <v>4017</v>
      </c>
      <c r="G30" s="3" t="s">
        <v>4018</v>
      </c>
      <c r="H30" s="3" t="s">
        <v>4020</v>
      </c>
      <c r="I30" s="3" t="s">
        <v>3970</v>
      </c>
      <c r="J30" s="3" t="s">
        <v>4023</v>
      </c>
      <c r="K30" s="3" t="s">
        <v>1422</v>
      </c>
      <c r="L30" s="3" t="s">
        <v>59</v>
      </c>
      <c r="M30" s="3" t="s">
        <v>4027</v>
      </c>
      <c r="N30" s="3" t="s">
        <v>4030</v>
      </c>
      <c r="O30" s="3" t="s">
        <v>4033</v>
      </c>
      <c r="P30" s="3" t="s">
        <v>3146</v>
      </c>
      <c r="Q30" s="40" t="s">
        <v>3151</v>
      </c>
      <c r="R30" s="43" t="s">
        <v>64</v>
      </c>
    </row>
    <row r="31">
      <c r="A31" s="3" t="s">
        <v>4041</v>
      </c>
      <c r="B31" s="3" t="s">
        <v>4043</v>
      </c>
      <c r="C31" s="3" t="s">
        <v>4046</v>
      </c>
      <c r="D31" s="3" t="s">
        <v>4049</v>
      </c>
      <c r="E31" s="3" t="s">
        <v>4051</v>
      </c>
      <c r="F31" s="3" t="s">
        <v>4053</v>
      </c>
      <c r="G31" s="3" t="s">
        <v>3435</v>
      </c>
      <c r="H31" s="3" t="s">
        <v>3216</v>
      </c>
      <c r="I31" s="3" t="s">
        <v>4058</v>
      </c>
      <c r="J31" s="3" t="s">
        <v>4060</v>
      </c>
      <c r="K31" s="3" t="s">
        <v>1422</v>
      </c>
      <c r="L31" s="3" t="s">
        <v>59</v>
      </c>
      <c r="M31" s="3" t="s">
        <v>4066</v>
      </c>
      <c r="N31" s="3" t="s">
        <v>4071</v>
      </c>
      <c r="O31" s="3" t="s">
        <v>4074</v>
      </c>
      <c r="P31" s="3" t="s">
        <v>3146</v>
      </c>
      <c r="Q31" s="40" t="s">
        <v>3151</v>
      </c>
      <c r="R31" s="43" t="s">
        <v>64</v>
      </c>
    </row>
    <row r="32">
      <c r="A32" s="3" t="s">
        <v>4082</v>
      </c>
      <c r="B32" s="3" t="s">
        <v>3711</v>
      </c>
      <c r="C32" s="3" t="s">
        <v>4086</v>
      </c>
      <c r="D32" s="3" t="s">
        <v>4089</v>
      </c>
      <c r="E32" s="3" t="s">
        <v>4092</v>
      </c>
      <c r="F32" s="3" t="s">
        <v>4095</v>
      </c>
      <c r="G32" s="3" t="s">
        <v>4098</v>
      </c>
      <c r="H32" s="3" t="s">
        <v>4100</v>
      </c>
      <c r="I32" s="3" t="s">
        <v>3711</v>
      </c>
      <c r="J32" s="3" t="s">
        <v>4103</v>
      </c>
      <c r="K32" s="3" t="s">
        <v>1422</v>
      </c>
      <c r="L32" s="3" t="s">
        <v>59</v>
      </c>
      <c r="M32" s="3" t="s">
        <v>4107</v>
      </c>
      <c r="N32" s="3" t="s">
        <v>4109</v>
      </c>
      <c r="O32" s="3" t="s">
        <v>4112</v>
      </c>
      <c r="P32" s="3" t="s">
        <v>4115</v>
      </c>
      <c r="Q32" s="40" t="s">
        <v>4119</v>
      </c>
      <c r="R32" s="43" t="s">
        <v>64</v>
      </c>
    </row>
    <row r="33">
      <c r="A33" s="3" t="s">
        <v>4193</v>
      </c>
      <c r="B33" s="3" t="s">
        <v>107</v>
      </c>
      <c r="C33" s="3" t="s">
        <v>4086</v>
      </c>
      <c r="D33" s="3" t="s">
        <v>4199</v>
      </c>
      <c r="E33" s="3" t="s">
        <v>4203</v>
      </c>
      <c r="F33" s="3" t="s">
        <v>4209</v>
      </c>
      <c r="G33" s="3" t="s">
        <v>562</v>
      </c>
      <c r="H33" s="3" t="s">
        <v>562</v>
      </c>
      <c r="I33" s="3" t="s">
        <v>4214</v>
      </c>
      <c r="J33" s="3" t="s">
        <v>4217</v>
      </c>
      <c r="K33" s="3" t="s">
        <v>1422</v>
      </c>
      <c r="L33" s="3" t="s">
        <v>59</v>
      </c>
      <c r="M33" s="3" t="s">
        <v>4227</v>
      </c>
      <c r="N33" s="3" t="s">
        <v>4230</v>
      </c>
      <c r="O33" s="3" t="s">
        <v>4233</v>
      </c>
      <c r="P33" s="3" t="s">
        <v>4115</v>
      </c>
      <c r="Q33" s="40" t="s">
        <v>4119</v>
      </c>
      <c r="R33" s="43" t="s">
        <v>64</v>
      </c>
    </row>
    <row r="34">
      <c r="A34" s="3" t="s">
        <v>4240</v>
      </c>
      <c r="B34" s="3" t="s">
        <v>3711</v>
      </c>
      <c r="C34" s="3" t="s">
        <v>4086</v>
      </c>
      <c r="D34" s="3" t="s">
        <v>4247</v>
      </c>
      <c r="E34" s="3" t="s">
        <v>4249</v>
      </c>
      <c r="F34" s="3" t="s">
        <v>4251</v>
      </c>
      <c r="G34" s="3" t="s">
        <v>4252</v>
      </c>
      <c r="H34" s="3" t="s">
        <v>4253</v>
      </c>
      <c r="I34" s="3" t="s">
        <v>4254</v>
      </c>
      <c r="J34" s="3" t="s">
        <v>967</v>
      </c>
      <c r="K34" s="3" t="s">
        <v>1422</v>
      </c>
      <c r="L34" s="3" t="s">
        <v>196</v>
      </c>
      <c r="M34" s="3" t="s">
        <v>4258</v>
      </c>
      <c r="N34" s="3" t="s">
        <v>4259</v>
      </c>
      <c r="O34" s="3" t="s">
        <v>4260</v>
      </c>
      <c r="P34" s="3" t="s">
        <v>3146</v>
      </c>
      <c r="Q34" s="40" t="s">
        <v>3151</v>
      </c>
      <c r="R34" s="43" t="s">
        <v>64</v>
      </c>
    </row>
    <row r="35">
      <c r="A35" s="3" t="s">
        <v>4265</v>
      </c>
      <c r="B35" s="3" t="s">
        <v>3711</v>
      </c>
      <c r="C35" s="3" t="s">
        <v>4270</v>
      </c>
      <c r="D35" s="3" t="s">
        <v>4273</v>
      </c>
      <c r="E35" s="3" t="s">
        <v>4275</v>
      </c>
      <c r="F35" s="3" t="s">
        <v>4279</v>
      </c>
      <c r="G35" s="3" t="s">
        <v>4252</v>
      </c>
      <c r="H35" s="3" t="s">
        <v>4282</v>
      </c>
      <c r="I35" s="3" t="s">
        <v>4285</v>
      </c>
      <c r="J35" s="3" t="s">
        <v>3371</v>
      </c>
      <c r="K35" s="3" t="s">
        <v>1422</v>
      </c>
      <c r="L35" s="3" t="s">
        <v>59</v>
      </c>
      <c r="M35" s="3" t="s">
        <v>4297</v>
      </c>
      <c r="N35" s="3" t="s">
        <v>4299</v>
      </c>
      <c r="O35" s="3" t="s">
        <v>4303</v>
      </c>
      <c r="P35" s="3" t="s">
        <v>3146</v>
      </c>
      <c r="Q35" s="40" t="s">
        <v>3151</v>
      </c>
      <c r="R35" s="43" t="s">
        <v>64</v>
      </c>
    </row>
    <row r="36">
      <c r="A36" s="3" t="s">
        <v>4308</v>
      </c>
      <c r="B36" s="3" t="s">
        <v>4309</v>
      </c>
      <c r="C36" s="3" t="s">
        <v>4311</v>
      </c>
      <c r="D36" s="3" t="s">
        <v>4313</v>
      </c>
      <c r="E36" s="3" t="s">
        <v>4315</v>
      </c>
      <c r="F36" s="3" t="s">
        <v>4317</v>
      </c>
      <c r="G36" s="3" t="s">
        <v>3627</v>
      </c>
      <c r="H36" s="3" t="s">
        <v>4322</v>
      </c>
      <c r="I36" s="3" t="s">
        <v>2707</v>
      </c>
      <c r="J36" s="3" t="s">
        <v>1058</v>
      </c>
      <c r="K36" s="3" t="s">
        <v>187</v>
      </c>
      <c r="L36" s="3" t="s">
        <v>137</v>
      </c>
      <c r="M36" s="3" t="s">
        <v>4329</v>
      </c>
      <c r="N36" s="3" t="s">
        <v>4332</v>
      </c>
      <c r="O36" s="3" t="s">
        <v>4335</v>
      </c>
      <c r="P36" s="3" t="s">
        <v>3634</v>
      </c>
      <c r="Q36" s="40" t="s">
        <v>676</v>
      </c>
      <c r="R36" s="43" t="s">
        <v>64</v>
      </c>
    </row>
  </sheetData>
  <autoFilter ref="$A$1:$R$36"/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</hyperlinks>
  <drawing r:id="rId3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1.38"/>
    <col customWidth="1" min="4" max="7" width="32.63"/>
    <col customWidth="1" min="8" max="9" width="18.88"/>
    <col customWidth="1" min="10" max="12" width="28.88"/>
    <col customWidth="1" min="13" max="13" width="18.88"/>
  </cols>
  <sheetData>
    <row r="1" ht="31.5" customHeight="1">
      <c r="A1" s="42" t="s">
        <v>1101</v>
      </c>
      <c r="B1" s="42" t="s">
        <v>1105</v>
      </c>
      <c r="C1" s="42" t="s">
        <v>1108</v>
      </c>
      <c r="D1" s="42" t="s">
        <v>207</v>
      </c>
      <c r="E1" s="42" t="s">
        <v>1110</v>
      </c>
      <c r="F1" s="42" t="s">
        <v>1112</v>
      </c>
      <c r="G1" s="42" t="s">
        <v>1113</v>
      </c>
      <c r="H1" s="42" t="s">
        <v>1114</v>
      </c>
      <c r="I1" s="42" t="s">
        <v>1116</v>
      </c>
      <c r="J1" s="42" t="s">
        <v>1117</v>
      </c>
      <c r="K1" s="42" t="s">
        <v>1118</v>
      </c>
      <c r="L1" s="42" t="s">
        <v>1120</v>
      </c>
      <c r="M1" s="42" t="s">
        <v>1121</v>
      </c>
    </row>
    <row r="2">
      <c r="A2" s="3" t="s">
        <v>3741</v>
      </c>
      <c r="B2" s="3" t="s">
        <v>3743</v>
      </c>
      <c r="C2" s="3" t="s">
        <v>1126</v>
      </c>
      <c r="D2" s="3" t="s">
        <v>3744</v>
      </c>
      <c r="E2" s="3" t="s">
        <v>3745</v>
      </c>
      <c r="F2" s="3" t="s">
        <v>1130</v>
      </c>
      <c r="G2" s="3" t="s">
        <v>1130</v>
      </c>
      <c r="H2" s="3" t="s">
        <v>1132</v>
      </c>
      <c r="I2" s="3" t="s">
        <v>3749</v>
      </c>
      <c r="J2" s="3" t="s">
        <v>3752</v>
      </c>
      <c r="K2" s="3" t="s">
        <v>3754</v>
      </c>
      <c r="L2" s="3" t="s">
        <v>3756</v>
      </c>
      <c r="M2" s="43" t="s">
        <v>1137</v>
      </c>
    </row>
    <row r="3">
      <c r="A3" s="3" t="s">
        <v>3760</v>
      </c>
      <c r="B3" s="3" t="s">
        <v>3762</v>
      </c>
      <c r="C3" s="3" t="s">
        <v>3764</v>
      </c>
      <c r="D3" s="3" t="s">
        <v>3766</v>
      </c>
      <c r="E3" s="3" t="s">
        <v>3767</v>
      </c>
      <c r="F3" s="3" t="s">
        <v>3768</v>
      </c>
      <c r="G3" s="3" t="s">
        <v>3770</v>
      </c>
      <c r="H3" s="3" t="s">
        <v>1146</v>
      </c>
      <c r="I3" s="3" t="s">
        <v>3774</v>
      </c>
      <c r="J3" s="3" t="s">
        <v>3776</v>
      </c>
      <c r="K3" s="3" t="s">
        <v>3777</v>
      </c>
      <c r="L3" s="3" t="s">
        <v>3156</v>
      </c>
      <c r="M3" s="43" t="s">
        <v>1137</v>
      </c>
    </row>
    <row r="4">
      <c r="A4" s="3" t="s">
        <v>3781</v>
      </c>
      <c r="B4" s="3" t="s">
        <v>3784</v>
      </c>
      <c r="C4" s="3" t="s">
        <v>3787</v>
      </c>
      <c r="D4" s="3" t="s">
        <v>3789</v>
      </c>
      <c r="E4" s="3" t="s">
        <v>3791</v>
      </c>
      <c r="F4" s="3" t="s">
        <v>3793</v>
      </c>
      <c r="G4" s="3" t="s">
        <v>3794</v>
      </c>
      <c r="H4" s="3" t="s">
        <v>1146</v>
      </c>
      <c r="I4" s="3" t="s">
        <v>3796</v>
      </c>
      <c r="J4" s="3" t="s">
        <v>3797</v>
      </c>
      <c r="K4" s="3" t="s">
        <v>3799</v>
      </c>
      <c r="L4" s="3" t="s">
        <v>3801</v>
      </c>
      <c r="M4" s="43" t="s">
        <v>1137</v>
      </c>
    </row>
    <row r="5">
      <c r="A5" s="3" t="s">
        <v>3803</v>
      </c>
      <c r="B5" s="3" t="s">
        <v>3804</v>
      </c>
      <c r="C5" s="3" t="s">
        <v>1141</v>
      </c>
      <c r="D5" s="3" t="s">
        <v>3805</v>
      </c>
      <c r="E5" s="3" t="s">
        <v>3806</v>
      </c>
      <c r="F5" s="3" t="s">
        <v>3808</v>
      </c>
      <c r="G5" s="3" t="s">
        <v>3809</v>
      </c>
      <c r="H5" s="3" t="s">
        <v>1146</v>
      </c>
      <c r="I5" s="3" t="s">
        <v>3811</v>
      </c>
      <c r="J5" s="3" t="s">
        <v>3813</v>
      </c>
      <c r="K5" s="3" t="s">
        <v>3815</v>
      </c>
      <c r="L5" s="3" t="s">
        <v>3816</v>
      </c>
      <c r="M5" s="43" t="s">
        <v>1137</v>
      </c>
    </row>
    <row r="6">
      <c r="A6" s="3" t="s">
        <v>3819</v>
      </c>
      <c r="B6" s="3" t="s">
        <v>3820</v>
      </c>
      <c r="C6" s="3" t="s">
        <v>3822</v>
      </c>
      <c r="D6" s="3" t="s">
        <v>3824</v>
      </c>
      <c r="E6" s="3" t="s">
        <v>3825</v>
      </c>
      <c r="F6" s="3" t="s">
        <v>3826</v>
      </c>
      <c r="G6" s="3" t="s">
        <v>3828</v>
      </c>
      <c r="H6" s="3" t="s">
        <v>1146</v>
      </c>
      <c r="I6" s="3" t="s">
        <v>3830</v>
      </c>
      <c r="J6" s="3" t="s">
        <v>3832</v>
      </c>
      <c r="K6" s="3" t="s">
        <v>3833</v>
      </c>
      <c r="L6" s="3" t="s">
        <v>3156</v>
      </c>
      <c r="M6" s="43" t="s">
        <v>1137</v>
      </c>
    </row>
    <row r="7">
      <c r="A7" s="3" t="s">
        <v>3834</v>
      </c>
      <c r="B7" s="3" t="s">
        <v>3836</v>
      </c>
      <c r="C7" s="3" t="s">
        <v>3837</v>
      </c>
      <c r="D7" s="3" t="s">
        <v>3838</v>
      </c>
      <c r="E7" s="3" t="s">
        <v>3840</v>
      </c>
      <c r="F7" s="3" t="s">
        <v>3842</v>
      </c>
      <c r="G7" s="3" t="s">
        <v>3844</v>
      </c>
      <c r="H7" s="3" t="s">
        <v>1146</v>
      </c>
      <c r="I7" s="3" t="s">
        <v>3846</v>
      </c>
      <c r="J7" s="3" t="s">
        <v>3848</v>
      </c>
      <c r="K7" s="3" t="s">
        <v>3849</v>
      </c>
      <c r="L7" s="3" t="s">
        <v>1341</v>
      </c>
      <c r="M7" s="43" t="s">
        <v>1137</v>
      </c>
    </row>
    <row r="8">
      <c r="A8" s="3" t="s">
        <v>3851</v>
      </c>
      <c r="B8" s="3" t="s">
        <v>3853</v>
      </c>
      <c r="C8" s="3" t="s">
        <v>1219</v>
      </c>
      <c r="D8" s="3" t="s">
        <v>3858</v>
      </c>
      <c r="E8" s="3" t="s">
        <v>3860</v>
      </c>
      <c r="F8" s="3" t="s">
        <v>3861</v>
      </c>
      <c r="G8" s="3" t="s">
        <v>3844</v>
      </c>
      <c r="H8" s="3" t="s">
        <v>1146</v>
      </c>
      <c r="I8" s="3" t="s">
        <v>3870</v>
      </c>
      <c r="J8" s="3" t="s">
        <v>3872</v>
      </c>
      <c r="K8" s="3" t="s">
        <v>3875</v>
      </c>
      <c r="L8" s="3" t="s">
        <v>3067</v>
      </c>
      <c r="M8" s="43" t="s">
        <v>1137</v>
      </c>
    </row>
    <row r="9">
      <c r="A9" s="3" t="s">
        <v>3879</v>
      </c>
      <c r="B9" s="3" t="s">
        <v>3880</v>
      </c>
      <c r="C9" s="3" t="s">
        <v>1730</v>
      </c>
      <c r="D9" s="3" t="s">
        <v>3882</v>
      </c>
      <c r="E9" s="3" t="s">
        <v>3884</v>
      </c>
      <c r="F9" s="3" t="s">
        <v>3887</v>
      </c>
      <c r="G9" s="3" t="s">
        <v>3888</v>
      </c>
      <c r="H9" s="3" t="s">
        <v>1146</v>
      </c>
      <c r="I9" s="3" t="s">
        <v>3890</v>
      </c>
      <c r="J9" s="3" t="s">
        <v>3892</v>
      </c>
      <c r="K9" s="3" t="s">
        <v>3893</v>
      </c>
      <c r="L9" s="3" t="s">
        <v>1490</v>
      </c>
      <c r="M9" s="43" t="s">
        <v>1137</v>
      </c>
    </row>
    <row r="10">
      <c r="A10" s="3" t="s">
        <v>3897</v>
      </c>
      <c r="B10" s="3" t="s">
        <v>3902</v>
      </c>
      <c r="C10" s="3" t="s">
        <v>3903</v>
      </c>
      <c r="D10" s="3" t="s">
        <v>3905</v>
      </c>
      <c r="E10" s="3" t="s">
        <v>3906</v>
      </c>
      <c r="F10" s="3" t="s">
        <v>3907</v>
      </c>
      <c r="G10" s="3" t="s">
        <v>3844</v>
      </c>
      <c r="H10" s="3" t="s">
        <v>1146</v>
      </c>
      <c r="I10" s="3" t="s">
        <v>3911</v>
      </c>
      <c r="J10" s="3" t="s">
        <v>3912</v>
      </c>
      <c r="K10" s="3" t="s">
        <v>3914</v>
      </c>
      <c r="L10" s="3" t="s">
        <v>3917</v>
      </c>
      <c r="M10" s="43" t="s">
        <v>1137</v>
      </c>
    </row>
    <row r="11">
      <c r="A11" s="3" t="s">
        <v>3920</v>
      </c>
      <c r="B11" s="3" t="s">
        <v>3922</v>
      </c>
      <c r="C11" s="3" t="s">
        <v>1126</v>
      </c>
      <c r="D11" s="3" t="s">
        <v>3928</v>
      </c>
      <c r="E11" s="3" t="s">
        <v>3930</v>
      </c>
      <c r="F11" s="3" t="s">
        <v>1130</v>
      </c>
      <c r="G11" s="3" t="s">
        <v>1130</v>
      </c>
      <c r="H11" s="3" t="s">
        <v>1289</v>
      </c>
      <c r="I11" s="3" t="s">
        <v>3935</v>
      </c>
      <c r="J11" s="3" t="s">
        <v>3936</v>
      </c>
      <c r="K11" s="3" t="s">
        <v>3940</v>
      </c>
      <c r="L11" s="3" t="s">
        <v>1293</v>
      </c>
      <c r="M11" s="43" t="s">
        <v>1137</v>
      </c>
    </row>
    <row r="12">
      <c r="A12" s="3" t="s">
        <v>3948</v>
      </c>
      <c r="B12" s="3" t="s">
        <v>3950</v>
      </c>
      <c r="C12" s="3" t="s">
        <v>3822</v>
      </c>
      <c r="D12" s="3" t="s">
        <v>3954</v>
      </c>
      <c r="E12" s="3" t="s">
        <v>3957</v>
      </c>
      <c r="F12" s="3" t="s">
        <v>3960</v>
      </c>
      <c r="G12" s="3" t="s">
        <v>3962</v>
      </c>
      <c r="H12" s="3" t="s">
        <v>1146</v>
      </c>
      <c r="I12" s="3" t="s">
        <v>3963</v>
      </c>
      <c r="J12" s="3" t="s">
        <v>3964</v>
      </c>
      <c r="K12" s="3" t="s">
        <v>3966</v>
      </c>
      <c r="L12" s="3" t="s">
        <v>3156</v>
      </c>
      <c r="M12" s="43" t="s">
        <v>1137</v>
      </c>
    </row>
    <row r="13">
      <c r="A13" s="3" t="s">
        <v>3969</v>
      </c>
      <c r="B13" s="3" t="s">
        <v>3972</v>
      </c>
      <c r="C13" s="3" t="s">
        <v>3974</v>
      </c>
      <c r="D13" s="3" t="s">
        <v>3977</v>
      </c>
      <c r="E13" s="3" t="s">
        <v>3980</v>
      </c>
      <c r="F13" s="3" t="s">
        <v>3992</v>
      </c>
      <c r="G13" s="3" t="s">
        <v>3993</v>
      </c>
      <c r="H13" s="3" t="s">
        <v>1146</v>
      </c>
      <c r="I13" s="3" t="s">
        <v>3998</v>
      </c>
      <c r="J13" s="3" t="s">
        <v>4001</v>
      </c>
      <c r="K13" s="3" t="s">
        <v>4003</v>
      </c>
      <c r="L13" s="3" t="s">
        <v>3067</v>
      </c>
      <c r="M13" s="43" t="s">
        <v>1137</v>
      </c>
    </row>
    <row r="14">
      <c r="A14" s="3" t="s">
        <v>4007</v>
      </c>
      <c r="B14" s="3" t="s">
        <v>4009</v>
      </c>
      <c r="C14" s="3" t="s">
        <v>1126</v>
      </c>
      <c r="D14" s="3" t="s">
        <v>4011</v>
      </c>
      <c r="E14" s="3" t="s">
        <v>4014</v>
      </c>
      <c r="F14" s="3" t="s">
        <v>1130</v>
      </c>
      <c r="G14" s="3" t="s">
        <v>1130</v>
      </c>
      <c r="H14" s="3" t="s">
        <v>1289</v>
      </c>
      <c r="I14" s="3" t="s">
        <v>4021</v>
      </c>
      <c r="J14" s="3" t="s">
        <v>3936</v>
      </c>
      <c r="K14" s="3" t="s">
        <v>4024</v>
      </c>
      <c r="L14" s="3" t="s">
        <v>1293</v>
      </c>
      <c r="M14" s="43" t="s">
        <v>1137</v>
      </c>
    </row>
    <row r="15">
      <c r="A15" s="3" t="s">
        <v>4029</v>
      </c>
      <c r="B15" s="3" t="s">
        <v>4032</v>
      </c>
      <c r="C15" s="3" t="s">
        <v>4034</v>
      </c>
      <c r="D15" s="3" t="s">
        <v>4035</v>
      </c>
      <c r="E15" s="3" t="s">
        <v>4037</v>
      </c>
      <c r="F15" s="3" t="s">
        <v>4039</v>
      </c>
      <c r="G15" s="3" t="s">
        <v>4040</v>
      </c>
      <c r="H15" s="3" t="s">
        <v>1146</v>
      </c>
      <c r="I15" s="3" t="s">
        <v>4044</v>
      </c>
      <c r="J15" s="3" t="s">
        <v>4045</v>
      </c>
      <c r="K15" s="3" t="s">
        <v>4048</v>
      </c>
      <c r="L15" s="3" t="s">
        <v>3156</v>
      </c>
      <c r="M15" s="43" t="s">
        <v>1137</v>
      </c>
    </row>
    <row r="16">
      <c r="A16" s="3" t="s">
        <v>4055</v>
      </c>
      <c r="B16" s="3" t="s">
        <v>4056</v>
      </c>
      <c r="C16" s="3" t="s">
        <v>1571</v>
      </c>
      <c r="D16" s="3" t="s">
        <v>4059</v>
      </c>
      <c r="E16" s="3" t="s">
        <v>4061</v>
      </c>
      <c r="F16" s="3" t="s">
        <v>4063</v>
      </c>
      <c r="G16" s="3" t="s">
        <v>4065</v>
      </c>
      <c r="H16" s="3" t="s">
        <v>1146</v>
      </c>
      <c r="I16" s="3" t="s">
        <v>4068</v>
      </c>
      <c r="J16" s="3" t="s">
        <v>4070</v>
      </c>
      <c r="K16" s="3" t="s">
        <v>4073</v>
      </c>
      <c r="L16" s="3" t="s">
        <v>4076</v>
      </c>
      <c r="M16" s="43" t="s">
        <v>1137</v>
      </c>
    </row>
    <row r="17">
      <c r="A17" s="3" t="s">
        <v>4079</v>
      </c>
      <c r="B17" s="3" t="s">
        <v>4081</v>
      </c>
      <c r="C17" s="3" t="s">
        <v>1708</v>
      </c>
      <c r="D17" s="3" t="s">
        <v>4083</v>
      </c>
      <c r="E17" s="3" t="s">
        <v>4085</v>
      </c>
      <c r="F17" s="3" t="s">
        <v>4088</v>
      </c>
      <c r="G17" s="3" t="s">
        <v>4091</v>
      </c>
      <c r="H17" s="3" t="s">
        <v>1146</v>
      </c>
      <c r="I17" s="3" t="s">
        <v>4094</v>
      </c>
      <c r="J17" s="3" t="s">
        <v>4096</v>
      </c>
      <c r="K17" s="3" t="s">
        <v>4099</v>
      </c>
      <c r="L17" s="3" t="s">
        <v>3156</v>
      </c>
      <c r="M17" s="43" t="s">
        <v>1137</v>
      </c>
    </row>
    <row r="18">
      <c r="A18" s="3" t="s">
        <v>4104</v>
      </c>
      <c r="B18" s="3" t="s">
        <v>4106</v>
      </c>
      <c r="C18" s="3" t="s">
        <v>3764</v>
      </c>
      <c r="D18" s="3" t="s">
        <v>4108</v>
      </c>
      <c r="E18" s="3" t="s">
        <v>4111</v>
      </c>
      <c r="F18" s="3" t="s">
        <v>4114</v>
      </c>
      <c r="G18" s="3" t="s">
        <v>4116</v>
      </c>
      <c r="H18" s="3" t="s">
        <v>1146</v>
      </c>
      <c r="I18" s="3" t="s">
        <v>4118</v>
      </c>
      <c r="J18" s="3" t="s">
        <v>4120</v>
      </c>
      <c r="K18" s="3" t="s">
        <v>4122</v>
      </c>
      <c r="L18" s="3" t="s">
        <v>3156</v>
      </c>
      <c r="M18" s="43" t="s">
        <v>1137</v>
      </c>
    </row>
    <row r="19">
      <c r="A19" s="3" t="s">
        <v>4126</v>
      </c>
      <c r="B19" s="3" t="s">
        <v>4128</v>
      </c>
      <c r="C19" s="3" t="s">
        <v>1141</v>
      </c>
      <c r="D19" s="3" t="s">
        <v>4129</v>
      </c>
      <c r="E19" s="3" t="s">
        <v>4130</v>
      </c>
      <c r="F19" s="3" t="s">
        <v>4132</v>
      </c>
      <c r="G19" s="3" t="s">
        <v>4134</v>
      </c>
      <c r="H19" s="3" t="s">
        <v>1146</v>
      </c>
      <c r="I19" s="3" t="s">
        <v>4136</v>
      </c>
      <c r="J19" s="3" t="s">
        <v>4137</v>
      </c>
      <c r="K19" s="3" t="s">
        <v>4139</v>
      </c>
      <c r="L19" s="3" t="s">
        <v>4141</v>
      </c>
      <c r="M19" s="43" t="s">
        <v>1137</v>
      </c>
    </row>
    <row r="20">
      <c r="A20" s="3" t="s">
        <v>4144</v>
      </c>
      <c r="B20" s="3" t="s">
        <v>4146</v>
      </c>
      <c r="C20" s="3" t="s">
        <v>4147</v>
      </c>
      <c r="D20" s="3" t="s">
        <v>4148</v>
      </c>
      <c r="E20" s="3" t="s">
        <v>4149</v>
      </c>
      <c r="F20" s="3" t="s">
        <v>4150</v>
      </c>
      <c r="G20" s="3" t="s">
        <v>4152</v>
      </c>
      <c r="H20" s="3" t="s">
        <v>1146</v>
      </c>
      <c r="I20" s="3" t="s">
        <v>4154</v>
      </c>
      <c r="J20" s="3" t="s">
        <v>4156</v>
      </c>
      <c r="K20" s="3" t="s">
        <v>4157</v>
      </c>
      <c r="L20" s="3" t="s">
        <v>1490</v>
      </c>
      <c r="M20" s="43" t="s">
        <v>1137</v>
      </c>
    </row>
    <row r="21">
      <c r="A21" s="3" t="s">
        <v>4161</v>
      </c>
      <c r="B21" s="3" t="s">
        <v>4163</v>
      </c>
      <c r="C21" s="3" t="s">
        <v>1535</v>
      </c>
      <c r="D21" s="3" t="s">
        <v>4165</v>
      </c>
      <c r="E21" s="3" t="s">
        <v>4166</v>
      </c>
      <c r="F21" s="3" t="s">
        <v>4168</v>
      </c>
      <c r="G21" s="3" t="s">
        <v>4170</v>
      </c>
      <c r="H21" s="3" t="s">
        <v>1146</v>
      </c>
      <c r="I21" s="3" t="s">
        <v>4172</v>
      </c>
      <c r="J21" s="3" t="s">
        <v>4174</v>
      </c>
      <c r="K21" s="3" t="s">
        <v>4175</v>
      </c>
      <c r="L21" s="3" t="s">
        <v>3156</v>
      </c>
      <c r="M21" s="43" t="s">
        <v>1137</v>
      </c>
    </row>
    <row r="22">
      <c r="A22" s="3" t="s">
        <v>4179</v>
      </c>
      <c r="B22" s="3" t="s">
        <v>4180</v>
      </c>
      <c r="C22" s="3" t="s">
        <v>1219</v>
      </c>
      <c r="D22" s="3" t="s">
        <v>4181</v>
      </c>
      <c r="E22" s="3" t="s">
        <v>4182</v>
      </c>
      <c r="F22" s="3" t="s">
        <v>4183</v>
      </c>
      <c r="G22" s="3" t="s">
        <v>4184</v>
      </c>
      <c r="H22" s="3" t="s">
        <v>1146</v>
      </c>
      <c r="I22" s="3" t="s">
        <v>4185</v>
      </c>
      <c r="J22" s="3" t="s">
        <v>4186</v>
      </c>
      <c r="K22" s="3" t="s">
        <v>4187</v>
      </c>
      <c r="L22" s="3" t="s">
        <v>1490</v>
      </c>
      <c r="M22" s="43" t="s">
        <v>1137</v>
      </c>
    </row>
    <row r="23">
      <c r="A23" s="3" t="s">
        <v>4189</v>
      </c>
      <c r="B23" s="3" t="s">
        <v>4191</v>
      </c>
      <c r="C23" s="3" t="s">
        <v>4192</v>
      </c>
      <c r="D23" s="3" t="s">
        <v>4194</v>
      </c>
      <c r="E23" s="3" t="s">
        <v>4196</v>
      </c>
      <c r="F23" s="3" t="s">
        <v>4198</v>
      </c>
      <c r="G23" s="3" t="s">
        <v>4201</v>
      </c>
      <c r="H23" s="3" t="s">
        <v>1146</v>
      </c>
      <c r="I23" s="3" t="s">
        <v>4206</v>
      </c>
      <c r="J23" s="3" t="s">
        <v>4211</v>
      </c>
      <c r="K23" s="3" t="s">
        <v>4212</v>
      </c>
      <c r="L23" s="3" t="s">
        <v>4213</v>
      </c>
      <c r="M23" s="43" t="s">
        <v>1137</v>
      </c>
    </row>
    <row r="24">
      <c r="A24" s="3" t="s">
        <v>4218</v>
      </c>
      <c r="B24" s="3" t="s">
        <v>4219</v>
      </c>
      <c r="C24" s="3" t="s">
        <v>4221</v>
      </c>
      <c r="D24" s="3" t="s">
        <v>4223</v>
      </c>
      <c r="E24" s="3" t="s">
        <v>4225</v>
      </c>
      <c r="F24" s="3" t="s">
        <v>4228</v>
      </c>
      <c r="G24" s="3" t="s">
        <v>4232</v>
      </c>
      <c r="H24" s="3" t="s">
        <v>1146</v>
      </c>
      <c r="I24" s="3" t="s">
        <v>4234</v>
      </c>
      <c r="J24" s="3" t="s">
        <v>4235</v>
      </c>
      <c r="K24" s="3" t="s">
        <v>4238</v>
      </c>
      <c r="L24" s="3" t="s">
        <v>1341</v>
      </c>
      <c r="M24" s="43" t="s">
        <v>1137</v>
      </c>
    </row>
    <row r="25">
      <c r="A25" s="3" t="s">
        <v>4242</v>
      </c>
      <c r="B25" s="3" t="s">
        <v>4244</v>
      </c>
      <c r="C25" s="3" t="s">
        <v>1219</v>
      </c>
      <c r="D25" s="3" t="s">
        <v>4283</v>
      </c>
      <c r="E25" s="3" t="s">
        <v>4289</v>
      </c>
      <c r="F25" s="3" t="s">
        <v>4293</v>
      </c>
      <c r="G25" s="3" t="s">
        <v>4296</v>
      </c>
      <c r="H25" s="3" t="s">
        <v>1146</v>
      </c>
      <c r="I25" s="3" t="s">
        <v>4302</v>
      </c>
      <c r="J25" s="3" t="s">
        <v>4306</v>
      </c>
      <c r="K25" s="3" t="s">
        <v>4307</v>
      </c>
      <c r="L25" s="3" t="s">
        <v>3067</v>
      </c>
      <c r="M25" s="43" t="s">
        <v>1137</v>
      </c>
    </row>
    <row r="26">
      <c r="A26" s="3" t="s">
        <v>4318</v>
      </c>
      <c r="B26" s="3" t="s">
        <v>4321</v>
      </c>
      <c r="C26" s="3" t="s">
        <v>4323</v>
      </c>
      <c r="D26" s="3" t="s">
        <v>4326</v>
      </c>
      <c r="E26" s="3" t="s">
        <v>4328</v>
      </c>
      <c r="F26" s="3" t="s">
        <v>4330</v>
      </c>
      <c r="G26" s="3" t="s">
        <v>4331</v>
      </c>
      <c r="H26" s="3" t="s">
        <v>1146</v>
      </c>
      <c r="I26" s="3" t="s">
        <v>4336</v>
      </c>
      <c r="J26" s="3" t="s">
        <v>4337</v>
      </c>
      <c r="K26" s="3" t="s">
        <v>4339</v>
      </c>
      <c r="L26" s="3" t="s">
        <v>4341</v>
      </c>
      <c r="M26" s="43" t="s">
        <v>1137</v>
      </c>
    </row>
    <row r="27">
      <c r="A27" s="3" t="s">
        <v>4345</v>
      </c>
      <c r="B27" s="3" t="s">
        <v>4347</v>
      </c>
      <c r="C27" s="3" t="s">
        <v>1126</v>
      </c>
      <c r="D27" s="3" t="s">
        <v>4350</v>
      </c>
      <c r="E27" s="3" t="s">
        <v>4352</v>
      </c>
      <c r="F27" s="3" t="s">
        <v>1130</v>
      </c>
      <c r="G27" s="3" t="s">
        <v>1130</v>
      </c>
      <c r="H27" s="3" t="s">
        <v>1132</v>
      </c>
      <c r="I27" s="3" t="s">
        <v>4356</v>
      </c>
      <c r="J27" s="3" t="s">
        <v>4358</v>
      </c>
      <c r="K27" s="3" t="s">
        <v>4360</v>
      </c>
      <c r="L27" s="3" t="s">
        <v>1293</v>
      </c>
      <c r="M27" s="43" t="s">
        <v>1137</v>
      </c>
    </row>
    <row r="28">
      <c r="A28" s="3" t="s">
        <v>4363</v>
      </c>
      <c r="B28" s="3" t="s">
        <v>4365</v>
      </c>
      <c r="C28" s="3" t="s">
        <v>4367</v>
      </c>
      <c r="D28" s="3" t="s">
        <v>4370</v>
      </c>
      <c r="E28" s="3" t="s">
        <v>4371</v>
      </c>
      <c r="F28" s="3" t="s">
        <v>4374</v>
      </c>
      <c r="G28" s="3" t="s">
        <v>4376</v>
      </c>
      <c r="H28" s="3" t="s">
        <v>1146</v>
      </c>
      <c r="I28" s="3" t="s">
        <v>4378</v>
      </c>
      <c r="J28" s="3" t="s">
        <v>4380</v>
      </c>
      <c r="K28" s="3" t="s">
        <v>4381</v>
      </c>
      <c r="L28" s="3" t="s">
        <v>3156</v>
      </c>
      <c r="M28" s="43" t="s">
        <v>1137</v>
      </c>
    </row>
    <row r="29">
      <c r="A29" s="3" t="s">
        <v>4385</v>
      </c>
      <c r="B29" s="3" t="s">
        <v>4388</v>
      </c>
      <c r="C29" s="3" t="s">
        <v>1126</v>
      </c>
      <c r="D29" s="3" t="s">
        <v>4392</v>
      </c>
      <c r="E29" s="3" t="s">
        <v>4394</v>
      </c>
      <c r="F29" s="3" t="s">
        <v>1130</v>
      </c>
      <c r="G29" s="3" t="s">
        <v>1130</v>
      </c>
      <c r="H29" s="3" t="s">
        <v>1289</v>
      </c>
      <c r="I29" s="3" t="s">
        <v>4398</v>
      </c>
      <c r="J29" s="3" t="s">
        <v>3936</v>
      </c>
      <c r="K29" s="3" t="s">
        <v>4400</v>
      </c>
      <c r="L29" s="3" t="s">
        <v>4402</v>
      </c>
      <c r="M29" s="43" t="s">
        <v>1137</v>
      </c>
    </row>
    <row r="30">
      <c r="A30" s="3" t="s">
        <v>4406</v>
      </c>
      <c r="B30" s="3" t="s">
        <v>4408</v>
      </c>
      <c r="C30" s="3" t="s">
        <v>4409</v>
      </c>
      <c r="D30" s="3" t="s">
        <v>4410</v>
      </c>
      <c r="E30" s="3" t="s">
        <v>4411</v>
      </c>
      <c r="F30" s="3" t="s">
        <v>4412</v>
      </c>
      <c r="G30" s="3" t="s">
        <v>4413</v>
      </c>
      <c r="H30" s="3" t="s">
        <v>1146</v>
      </c>
      <c r="I30" s="3" t="s">
        <v>4415</v>
      </c>
      <c r="J30" s="3" t="s">
        <v>4416</v>
      </c>
      <c r="K30" s="3" t="s">
        <v>4417</v>
      </c>
      <c r="L30" s="3" t="s">
        <v>3156</v>
      </c>
      <c r="M30" s="43" t="s">
        <v>1137</v>
      </c>
    </row>
    <row r="31">
      <c r="A31" s="3" t="s">
        <v>4420</v>
      </c>
      <c r="B31" s="3" t="s">
        <v>4422</v>
      </c>
      <c r="C31" s="3" t="s">
        <v>4424</v>
      </c>
      <c r="D31" s="3" t="s">
        <v>4426</v>
      </c>
      <c r="E31" s="3" t="s">
        <v>4428</v>
      </c>
      <c r="F31" s="3" t="s">
        <v>4430</v>
      </c>
      <c r="G31" s="3" t="s">
        <v>4431</v>
      </c>
      <c r="H31" s="3" t="s">
        <v>1146</v>
      </c>
      <c r="I31" s="3" t="s">
        <v>4433</v>
      </c>
      <c r="J31" s="3" t="s">
        <v>4435</v>
      </c>
      <c r="K31" s="3" t="s">
        <v>4437</v>
      </c>
      <c r="L31" s="3" t="s">
        <v>3156</v>
      </c>
      <c r="M31" s="43" t="s">
        <v>1137</v>
      </c>
    </row>
    <row r="32">
      <c r="A32" s="3" t="s">
        <v>4440</v>
      </c>
      <c r="B32" s="3" t="s">
        <v>4441</v>
      </c>
      <c r="C32" s="3" t="s">
        <v>4442</v>
      </c>
      <c r="D32" s="3" t="s">
        <v>4443</v>
      </c>
      <c r="E32" s="3" t="s">
        <v>4444</v>
      </c>
      <c r="F32" s="3" t="s">
        <v>4445</v>
      </c>
      <c r="G32" s="3" t="s">
        <v>4446</v>
      </c>
      <c r="H32" s="3" t="s">
        <v>1146</v>
      </c>
      <c r="I32" s="3" t="s">
        <v>4433</v>
      </c>
      <c r="J32" s="3" t="s">
        <v>4447</v>
      </c>
      <c r="K32" s="3" t="s">
        <v>4448</v>
      </c>
      <c r="L32" s="3" t="s">
        <v>3156</v>
      </c>
      <c r="M32" s="43" t="s">
        <v>1137</v>
      </c>
    </row>
    <row r="33">
      <c r="A33" s="3" t="s">
        <v>4449</v>
      </c>
      <c r="B33" s="3" t="s">
        <v>4450</v>
      </c>
      <c r="C33" s="3" t="s">
        <v>4451</v>
      </c>
      <c r="D33" s="3" t="s">
        <v>4452</v>
      </c>
      <c r="E33" s="3" t="s">
        <v>4453</v>
      </c>
      <c r="F33" s="3" t="s">
        <v>4455</v>
      </c>
      <c r="G33" s="3" t="s">
        <v>4456</v>
      </c>
      <c r="H33" s="3" t="s">
        <v>1146</v>
      </c>
      <c r="I33" s="3" t="s">
        <v>4458</v>
      </c>
      <c r="J33" s="3" t="s">
        <v>4459</v>
      </c>
      <c r="K33" s="3" t="s">
        <v>4460</v>
      </c>
      <c r="L33" s="3" t="s">
        <v>4213</v>
      </c>
      <c r="M33" s="43" t="s">
        <v>1137</v>
      </c>
    </row>
    <row r="34">
      <c r="A34" s="3" t="s">
        <v>4461</v>
      </c>
      <c r="B34" s="3" t="s">
        <v>4462</v>
      </c>
      <c r="C34" s="3" t="s">
        <v>1344</v>
      </c>
      <c r="D34" s="3" t="s">
        <v>4464</v>
      </c>
      <c r="E34" s="3" t="s">
        <v>4466</v>
      </c>
      <c r="F34" s="3" t="s">
        <v>4467</v>
      </c>
      <c r="G34" s="3" t="s">
        <v>4468</v>
      </c>
      <c r="H34" s="3" t="s">
        <v>1146</v>
      </c>
      <c r="I34" s="3" t="s">
        <v>3774</v>
      </c>
      <c r="J34" s="3" t="s">
        <v>4471</v>
      </c>
      <c r="K34" s="3" t="s">
        <v>4473</v>
      </c>
      <c r="L34" s="3" t="s">
        <v>3156</v>
      </c>
      <c r="M34" s="43" t="s">
        <v>1137</v>
      </c>
    </row>
    <row r="35">
      <c r="A35" s="3" t="s">
        <v>4475</v>
      </c>
      <c r="B35" s="3" t="s">
        <v>4476</v>
      </c>
      <c r="C35" s="3" t="s">
        <v>4478</v>
      </c>
      <c r="D35" s="3" t="s">
        <v>4480</v>
      </c>
      <c r="E35" s="3" t="s">
        <v>4482</v>
      </c>
      <c r="F35" s="3" t="s">
        <v>4483</v>
      </c>
      <c r="G35" s="3" t="s">
        <v>4484</v>
      </c>
      <c r="H35" s="3" t="s">
        <v>1146</v>
      </c>
      <c r="I35" s="3" t="s">
        <v>3774</v>
      </c>
      <c r="J35" s="3" t="s">
        <v>3435</v>
      </c>
      <c r="K35" s="3" t="s">
        <v>4490</v>
      </c>
      <c r="L35" s="3" t="s">
        <v>4493</v>
      </c>
      <c r="M35" s="43" t="s">
        <v>1137</v>
      </c>
    </row>
    <row r="36">
      <c r="A36" s="3" t="s">
        <v>4497</v>
      </c>
      <c r="B36" s="3" t="s">
        <v>4499</v>
      </c>
      <c r="C36" s="3" t="s">
        <v>4501</v>
      </c>
      <c r="D36" s="3" t="s">
        <v>4504</v>
      </c>
      <c r="E36" s="3" t="s">
        <v>4506</v>
      </c>
      <c r="F36" s="3" t="s">
        <v>4509</v>
      </c>
      <c r="G36" s="3" t="s">
        <v>4511</v>
      </c>
      <c r="H36" s="3" t="s">
        <v>1146</v>
      </c>
      <c r="I36" s="3" t="s">
        <v>4515</v>
      </c>
      <c r="J36" s="3" t="s">
        <v>4517</v>
      </c>
      <c r="K36" s="3" t="s">
        <v>4520</v>
      </c>
      <c r="L36" s="3" t="s">
        <v>3156</v>
      </c>
      <c r="M36" s="43" t="s">
        <v>1137</v>
      </c>
    </row>
    <row r="37">
      <c r="A37" s="3" t="s">
        <v>4522</v>
      </c>
      <c r="B37" s="3" t="s">
        <v>4525</v>
      </c>
      <c r="C37" s="3" t="s">
        <v>3379</v>
      </c>
      <c r="D37" s="3" t="s">
        <v>4527</v>
      </c>
      <c r="E37" s="3" t="s">
        <v>4529</v>
      </c>
      <c r="F37" s="3" t="s">
        <v>1130</v>
      </c>
      <c r="G37" s="3" t="s">
        <v>1130</v>
      </c>
      <c r="H37" s="3" t="s">
        <v>1132</v>
      </c>
      <c r="I37" s="3" t="s">
        <v>4415</v>
      </c>
      <c r="J37" s="3" t="s">
        <v>4534</v>
      </c>
      <c r="K37" s="3" t="s">
        <v>4535</v>
      </c>
      <c r="L37" s="3" t="s">
        <v>4537</v>
      </c>
      <c r="M37" s="43" t="s">
        <v>1137</v>
      </c>
    </row>
    <row r="38">
      <c r="A38" s="3" t="s">
        <v>4540</v>
      </c>
      <c r="B38" s="3" t="s">
        <v>4542</v>
      </c>
      <c r="C38" s="3" t="s">
        <v>1535</v>
      </c>
      <c r="D38" s="3" t="s">
        <v>4544</v>
      </c>
      <c r="E38" s="3" t="s">
        <v>4545</v>
      </c>
      <c r="F38" s="3" t="s">
        <v>4546</v>
      </c>
      <c r="G38" s="3" t="s">
        <v>4547</v>
      </c>
      <c r="H38" s="3" t="s">
        <v>1146</v>
      </c>
      <c r="I38" s="3" t="s">
        <v>4515</v>
      </c>
      <c r="J38" s="3" t="s">
        <v>4548</v>
      </c>
      <c r="K38" s="3" t="s">
        <v>4549</v>
      </c>
      <c r="L38" s="3" t="s">
        <v>4550</v>
      </c>
      <c r="M38" s="43" t="s">
        <v>1137</v>
      </c>
    </row>
    <row r="39">
      <c r="A39" s="3" t="s">
        <v>4551</v>
      </c>
      <c r="B39" s="3" t="s">
        <v>4552</v>
      </c>
      <c r="C39" s="3" t="s">
        <v>4553</v>
      </c>
      <c r="D39" s="3" t="s">
        <v>4554</v>
      </c>
      <c r="E39" s="3" t="s">
        <v>4555</v>
      </c>
      <c r="F39" s="3" t="s">
        <v>4556</v>
      </c>
      <c r="G39" s="3" t="s">
        <v>4557</v>
      </c>
      <c r="H39" s="3" t="s">
        <v>1146</v>
      </c>
      <c r="I39" s="3" t="s">
        <v>4558</v>
      </c>
      <c r="J39" s="3" t="s">
        <v>4559</v>
      </c>
      <c r="K39" s="3" t="s">
        <v>4560</v>
      </c>
      <c r="L39" s="3" t="s">
        <v>4561</v>
      </c>
      <c r="M39" s="43" t="s">
        <v>1137</v>
      </c>
    </row>
    <row r="40">
      <c r="A40" s="3" t="s">
        <v>4562</v>
      </c>
      <c r="B40" s="3" t="s">
        <v>4563</v>
      </c>
      <c r="C40" s="3" t="s">
        <v>1153</v>
      </c>
      <c r="D40" s="3" t="s">
        <v>4565</v>
      </c>
      <c r="E40" s="3" t="s">
        <v>4566</v>
      </c>
      <c r="F40" s="3" t="s">
        <v>2108</v>
      </c>
      <c r="G40" s="3" t="s">
        <v>4568</v>
      </c>
      <c r="H40" s="3" t="s">
        <v>4570</v>
      </c>
      <c r="I40" s="3" t="s">
        <v>4572</v>
      </c>
      <c r="J40" s="3" t="s">
        <v>4574</v>
      </c>
      <c r="K40" s="3" t="s">
        <v>4576</v>
      </c>
      <c r="L40" s="3" t="s">
        <v>4578</v>
      </c>
      <c r="M40" s="43" t="s">
        <v>4579</v>
      </c>
    </row>
    <row r="41">
      <c r="A41" s="3" t="s">
        <v>4580</v>
      </c>
      <c r="B41" s="3" t="s">
        <v>4581</v>
      </c>
      <c r="C41" s="3" t="s">
        <v>1153</v>
      </c>
      <c r="D41" s="3" t="s">
        <v>4583</v>
      </c>
      <c r="E41" s="3" t="s">
        <v>4585</v>
      </c>
      <c r="F41" s="3" t="s">
        <v>1173</v>
      </c>
      <c r="G41" s="3" t="s">
        <v>4232</v>
      </c>
      <c r="H41" s="3" t="s">
        <v>4590</v>
      </c>
      <c r="I41" s="3" t="s">
        <v>4591</v>
      </c>
      <c r="J41" s="3" t="s">
        <v>4592</v>
      </c>
      <c r="K41" s="3" t="s">
        <v>4595</v>
      </c>
      <c r="L41" s="3" t="s">
        <v>1738</v>
      </c>
      <c r="M41" s="43" t="s">
        <v>1181</v>
      </c>
    </row>
    <row r="42">
      <c r="A42" s="3" t="s">
        <v>4598</v>
      </c>
      <c r="B42" s="3" t="s">
        <v>4599</v>
      </c>
      <c r="C42" s="3" t="s">
        <v>1184</v>
      </c>
      <c r="D42" s="3" t="s">
        <v>4603</v>
      </c>
      <c r="E42" s="3" t="s">
        <v>4605</v>
      </c>
      <c r="F42" s="3" t="s">
        <v>4607</v>
      </c>
      <c r="G42" s="3" t="s">
        <v>2127</v>
      </c>
      <c r="H42" s="3" t="s">
        <v>1146</v>
      </c>
      <c r="I42" s="3" t="s">
        <v>4611</v>
      </c>
      <c r="J42" s="3" t="s">
        <v>1192</v>
      </c>
      <c r="K42" s="3" t="s">
        <v>4613</v>
      </c>
      <c r="L42" s="3" t="s">
        <v>4615</v>
      </c>
      <c r="M42" s="43" t="s">
        <v>1137</v>
      </c>
    </row>
    <row r="43">
      <c r="A43" s="3" t="s">
        <v>4618</v>
      </c>
      <c r="B43" s="3" t="s">
        <v>4619</v>
      </c>
      <c r="C43" s="3" t="s">
        <v>1141</v>
      </c>
      <c r="D43" s="3" t="s">
        <v>4620</v>
      </c>
      <c r="E43" s="3" t="s">
        <v>4621</v>
      </c>
      <c r="F43" s="3" t="s">
        <v>1619</v>
      </c>
      <c r="G43" s="3" t="s">
        <v>1620</v>
      </c>
      <c r="H43" s="3" t="s">
        <v>1146</v>
      </c>
      <c r="I43" s="3" t="s">
        <v>4623</v>
      </c>
      <c r="J43" s="3" t="s">
        <v>4624</v>
      </c>
      <c r="K43" s="3" t="s">
        <v>4625</v>
      </c>
      <c r="L43" s="3" t="s">
        <v>3515</v>
      </c>
      <c r="M43" s="43" t="s">
        <v>1137</v>
      </c>
    </row>
    <row r="44">
      <c r="A44" s="3" t="s">
        <v>4629</v>
      </c>
      <c r="B44" s="3" t="s">
        <v>4630</v>
      </c>
      <c r="C44" s="3" t="s">
        <v>4631</v>
      </c>
      <c r="D44" s="3" t="s">
        <v>4633</v>
      </c>
      <c r="E44" s="3" t="s">
        <v>4635</v>
      </c>
      <c r="F44" s="3" t="s">
        <v>4637</v>
      </c>
      <c r="G44" s="3" t="s">
        <v>4638</v>
      </c>
      <c r="H44" s="3" t="s">
        <v>1146</v>
      </c>
      <c r="I44" s="3" t="s">
        <v>4639</v>
      </c>
      <c r="J44" s="3" t="s">
        <v>4640</v>
      </c>
      <c r="K44" s="3" t="s">
        <v>4641</v>
      </c>
      <c r="L44" s="3" t="s">
        <v>4642</v>
      </c>
      <c r="M44" s="43" t="s">
        <v>1137</v>
      </c>
    </row>
    <row r="45">
      <c r="A45" s="3" t="s">
        <v>4643</v>
      </c>
      <c r="B45" s="3" t="s">
        <v>4644</v>
      </c>
      <c r="C45" s="3" t="s">
        <v>1635</v>
      </c>
      <c r="D45" s="3" t="s">
        <v>4645</v>
      </c>
      <c r="E45" s="3" t="s">
        <v>4647</v>
      </c>
      <c r="F45" s="3" t="s">
        <v>1643</v>
      </c>
      <c r="G45" s="4" t="s">
        <v>1647</v>
      </c>
      <c r="H45" s="3" t="s">
        <v>1650</v>
      </c>
      <c r="I45" s="3" t="s">
        <v>1653</v>
      </c>
      <c r="J45" s="3" t="s">
        <v>3562</v>
      </c>
      <c r="K45" s="3" t="s">
        <v>4653</v>
      </c>
      <c r="L45" s="3" t="s">
        <v>3565</v>
      </c>
      <c r="M45" s="43" t="s">
        <v>1663</v>
      </c>
    </row>
    <row r="46">
      <c r="A46" s="3" t="s">
        <v>4657</v>
      </c>
      <c r="B46" s="3" t="s">
        <v>4659</v>
      </c>
      <c r="C46" s="3" t="s">
        <v>3324</v>
      </c>
      <c r="D46" s="3" t="s">
        <v>4664</v>
      </c>
      <c r="E46" s="3" t="s">
        <v>4667</v>
      </c>
      <c r="F46" s="3" t="s">
        <v>4669</v>
      </c>
      <c r="G46" s="3" t="s">
        <v>4232</v>
      </c>
      <c r="H46" s="3" t="s">
        <v>4672</v>
      </c>
      <c r="I46" s="3" t="s">
        <v>3774</v>
      </c>
      <c r="J46" s="3" t="s">
        <v>4675</v>
      </c>
      <c r="K46" s="3" t="s">
        <v>4676</v>
      </c>
      <c r="L46" s="3" t="s">
        <v>4678</v>
      </c>
      <c r="M46" s="43" t="s">
        <v>4681</v>
      </c>
    </row>
  </sheetData>
  <autoFilter ref="$A$1:$M$46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1.38"/>
    <col customWidth="1" min="4" max="10" width="31.38"/>
    <col customWidth="1" min="11" max="11" width="36.38"/>
    <col customWidth="1" min="12" max="12" width="21.38"/>
  </cols>
  <sheetData>
    <row r="1" ht="31.5" customHeight="1">
      <c r="A1" s="42" t="s">
        <v>1200</v>
      </c>
      <c r="B1" s="42" t="s">
        <v>1205</v>
      </c>
      <c r="C1" s="42" t="s">
        <v>1209</v>
      </c>
      <c r="D1" s="42" t="s">
        <v>1212</v>
      </c>
      <c r="E1" s="42" t="s">
        <v>1215</v>
      </c>
      <c r="F1" s="42" t="s">
        <v>1217</v>
      </c>
      <c r="G1" s="42" t="s">
        <v>1220</v>
      </c>
      <c r="H1" s="42" t="s">
        <v>1224</v>
      </c>
      <c r="I1" s="42" t="s">
        <v>1226</v>
      </c>
      <c r="J1" s="42" t="s">
        <v>1227</v>
      </c>
      <c r="K1" s="42" t="s">
        <v>1229</v>
      </c>
      <c r="L1" s="42" t="s">
        <v>1121</v>
      </c>
    </row>
    <row r="2">
      <c r="A2" s="3" t="s">
        <v>3857</v>
      </c>
      <c r="B2" s="3" t="s">
        <v>3859</v>
      </c>
      <c r="C2" s="3" t="s">
        <v>188</v>
      </c>
      <c r="D2" s="3" t="s">
        <v>3862</v>
      </c>
      <c r="E2" s="3" t="s">
        <v>3864</v>
      </c>
      <c r="F2" s="3" t="s">
        <v>3867</v>
      </c>
      <c r="G2" s="3" t="s">
        <v>3871</v>
      </c>
      <c r="H2" s="3" t="s">
        <v>3874</v>
      </c>
      <c r="I2" s="3" t="s">
        <v>3876</v>
      </c>
      <c r="J2" s="3" t="s">
        <v>3878</v>
      </c>
      <c r="K2" s="40" t="s">
        <v>3151</v>
      </c>
      <c r="L2" s="43" t="s">
        <v>3915</v>
      </c>
    </row>
    <row r="3">
      <c r="A3" s="3" t="s">
        <v>3918</v>
      </c>
      <c r="B3" s="3" t="s">
        <v>3919</v>
      </c>
      <c r="C3" s="3" t="s">
        <v>1359</v>
      </c>
      <c r="D3" s="3" t="s">
        <v>3923</v>
      </c>
      <c r="E3" s="3" t="s">
        <v>3925</v>
      </c>
      <c r="F3" s="3" t="s">
        <v>3927</v>
      </c>
      <c r="G3" s="3" t="s">
        <v>3929</v>
      </c>
      <c r="H3" s="3" t="s">
        <v>3931</v>
      </c>
      <c r="I3" s="3" t="s">
        <v>3932</v>
      </c>
      <c r="J3" s="3" t="s">
        <v>3933</v>
      </c>
      <c r="K3" s="40" t="s">
        <v>3151</v>
      </c>
      <c r="L3" s="43" t="s">
        <v>1353</v>
      </c>
    </row>
    <row r="4">
      <c r="A4" s="3" t="s">
        <v>3938</v>
      </c>
      <c r="B4" s="3" t="s">
        <v>3941</v>
      </c>
      <c r="C4" s="3" t="s">
        <v>1359</v>
      </c>
      <c r="D4" s="3" t="s">
        <v>3944</v>
      </c>
      <c r="E4" s="3" t="s">
        <v>3946</v>
      </c>
      <c r="F4" s="3" t="s">
        <v>3949</v>
      </c>
      <c r="G4" s="3" t="s">
        <v>3952</v>
      </c>
      <c r="H4" s="3" t="s">
        <v>3953</v>
      </c>
      <c r="I4" s="3" t="s">
        <v>3956</v>
      </c>
      <c r="J4" s="3" t="s">
        <v>3959</v>
      </c>
      <c r="K4" s="40" t="s">
        <v>3151</v>
      </c>
      <c r="L4" s="43" t="s">
        <v>2518</v>
      </c>
    </row>
    <row r="5">
      <c r="A5" s="3" t="s">
        <v>3965</v>
      </c>
      <c r="B5" s="3" t="s">
        <v>3967</v>
      </c>
      <c r="C5" s="3" t="s">
        <v>1382</v>
      </c>
      <c r="D5" s="3" t="s">
        <v>3971</v>
      </c>
      <c r="E5" s="3" t="s">
        <v>3973</v>
      </c>
      <c r="F5" s="3" t="s">
        <v>3976</v>
      </c>
      <c r="G5" s="3" t="s">
        <v>3979</v>
      </c>
      <c r="H5" s="3" t="s">
        <v>3981</v>
      </c>
      <c r="I5" s="3" t="s">
        <v>3983</v>
      </c>
      <c r="J5" s="3" t="s">
        <v>3985</v>
      </c>
      <c r="K5" s="40" t="s">
        <v>3151</v>
      </c>
      <c r="L5" s="43" t="s">
        <v>3988</v>
      </c>
    </row>
    <row r="6">
      <c r="A6" s="3" t="s">
        <v>3990</v>
      </c>
      <c r="B6" s="3" t="s">
        <v>3991</v>
      </c>
      <c r="C6" s="3" t="s">
        <v>1382</v>
      </c>
      <c r="D6" s="3" t="s">
        <v>3995</v>
      </c>
      <c r="E6" s="3" t="s">
        <v>3997</v>
      </c>
      <c r="F6" s="3" t="s">
        <v>4000</v>
      </c>
      <c r="G6" s="3" t="s">
        <v>4002</v>
      </c>
      <c r="H6" s="3" t="s">
        <v>4004</v>
      </c>
      <c r="I6" s="3" t="s">
        <v>4005</v>
      </c>
      <c r="J6" s="3" t="s">
        <v>4006</v>
      </c>
      <c r="K6" s="40" t="s">
        <v>3151</v>
      </c>
      <c r="L6" s="43" t="s">
        <v>4010</v>
      </c>
    </row>
    <row r="7">
      <c r="A7" s="3" t="s">
        <v>4013</v>
      </c>
      <c r="B7" s="3" t="s">
        <v>4016</v>
      </c>
      <c r="C7" s="3" t="s">
        <v>1382</v>
      </c>
      <c r="D7" s="3" t="s">
        <v>4019</v>
      </c>
      <c r="E7" s="3" t="s">
        <v>3946</v>
      </c>
      <c r="F7" s="3" t="s">
        <v>4022</v>
      </c>
      <c r="G7" s="3" t="s">
        <v>4025</v>
      </c>
      <c r="H7" s="3" t="s">
        <v>4026</v>
      </c>
      <c r="I7" s="3" t="s">
        <v>4028</v>
      </c>
      <c r="J7" s="3" t="s">
        <v>4031</v>
      </c>
      <c r="K7" s="40" t="s">
        <v>3151</v>
      </c>
      <c r="L7" s="43" t="s">
        <v>1874</v>
      </c>
    </row>
    <row r="8">
      <c r="A8" s="3" t="s">
        <v>4036</v>
      </c>
      <c r="B8" s="3" t="s">
        <v>4038</v>
      </c>
      <c r="C8" s="3" t="s">
        <v>1382</v>
      </c>
      <c r="D8" s="3" t="s">
        <v>4042</v>
      </c>
      <c r="E8" s="3" t="s">
        <v>3204</v>
      </c>
      <c r="F8" s="3" t="s">
        <v>4047</v>
      </c>
      <c r="G8" s="3" t="s">
        <v>4050</v>
      </c>
      <c r="H8" s="3" t="s">
        <v>4052</v>
      </c>
      <c r="I8" s="3" t="s">
        <v>4054</v>
      </c>
      <c r="J8" s="3" t="s">
        <v>4057</v>
      </c>
      <c r="K8" s="40" t="s">
        <v>3151</v>
      </c>
      <c r="L8" s="43" t="s">
        <v>1874</v>
      </c>
    </row>
    <row r="9">
      <c r="A9" s="3" t="s">
        <v>4062</v>
      </c>
      <c r="B9" s="3" t="s">
        <v>4064</v>
      </c>
      <c r="C9" s="3" t="s">
        <v>1382</v>
      </c>
      <c r="D9" s="3" t="s">
        <v>4067</v>
      </c>
      <c r="E9" s="3" t="s">
        <v>4069</v>
      </c>
      <c r="F9" s="3" t="s">
        <v>4072</v>
      </c>
      <c r="G9" s="3" t="s">
        <v>4075</v>
      </c>
      <c r="H9" s="3" t="s">
        <v>4077</v>
      </c>
      <c r="I9" s="3" t="s">
        <v>4078</v>
      </c>
      <c r="J9" s="3" t="s">
        <v>4080</v>
      </c>
      <c r="K9" s="40" t="s">
        <v>3151</v>
      </c>
      <c r="L9" s="43" t="s">
        <v>4084</v>
      </c>
    </row>
    <row r="10">
      <c r="A10" s="3" t="s">
        <v>4087</v>
      </c>
      <c r="B10" s="3" t="s">
        <v>4090</v>
      </c>
      <c r="C10" s="3" t="s">
        <v>1382</v>
      </c>
      <c r="D10" s="3" t="s">
        <v>4093</v>
      </c>
      <c r="E10" s="3" t="s">
        <v>3946</v>
      </c>
      <c r="F10" s="3" t="s">
        <v>4097</v>
      </c>
      <c r="G10" s="3" t="s">
        <v>4050</v>
      </c>
      <c r="H10" s="3" t="s">
        <v>4101</v>
      </c>
      <c r="I10" s="3" t="s">
        <v>4102</v>
      </c>
      <c r="J10" s="3" t="s">
        <v>4105</v>
      </c>
      <c r="K10" s="40" t="s">
        <v>3151</v>
      </c>
      <c r="L10" s="43" t="s">
        <v>1874</v>
      </c>
    </row>
    <row r="11">
      <c r="A11" s="3" t="s">
        <v>4110</v>
      </c>
      <c r="B11" s="3" t="s">
        <v>4113</v>
      </c>
      <c r="C11" s="3" t="s">
        <v>1382</v>
      </c>
      <c r="D11" s="3" t="s">
        <v>4117</v>
      </c>
      <c r="E11" s="3" t="s">
        <v>3550</v>
      </c>
      <c r="F11" s="3" t="s">
        <v>4121</v>
      </c>
      <c r="G11" s="3" t="s">
        <v>4123</v>
      </c>
      <c r="H11" s="3" t="s">
        <v>4124</v>
      </c>
      <c r="I11" s="3" t="s">
        <v>4125</v>
      </c>
      <c r="J11" s="3" t="s">
        <v>4127</v>
      </c>
      <c r="K11" s="40" t="s">
        <v>3151</v>
      </c>
      <c r="L11" s="43" t="s">
        <v>1874</v>
      </c>
    </row>
    <row r="12">
      <c r="A12" s="3" t="s">
        <v>4131</v>
      </c>
      <c r="B12" s="3" t="s">
        <v>4133</v>
      </c>
      <c r="C12" s="3" t="s">
        <v>1382</v>
      </c>
      <c r="D12" s="3" t="s">
        <v>4135</v>
      </c>
      <c r="E12" s="3" t="s">
        <v>3204</v>
      </c>
      <c r="F12" s="3" t="s">
        <v>4138</v>
      </c>
      <c r="G12" s="3" t="s">
        <v>4140</v>
      </c>
      <c r="H12" s="3" t="s">
        <v>4142</v>
      </c>
      <c r="I12" s="3" t="s">
        <v>4143</v>
      </c>
      <c r="J12" s="3" t="s">
        <v>4145</v>
      </c>
      <c r="K12" s="40" t="s">
        <v>3151</v>
      </c>
      <c r="L12" s="43" t="s">
        <v>1874</v>
      </c>
    </row>
    <row r="13">
      <c r="A13" s="3" t="s">
        <v>4151</v>
      </c>
      <c r="B13" s="3" t="s">
        <v>4153</v>
      </c>
      <c r="C13" s="3" t="s">
        <v>1359</v>
      </c>
      <c r="D13" s="3" t="s">
        <v>4155</v>
      </c>
      <c r="E13" s="3" t="s">
        <v>3665</v>
      </c>
      <c r="F13" s="3" t="s">
        <v>4158</v>
      </c>
      <c r="G13" s="3" t="s">
        <v>4159</v>
      </c>
      <c r="H13" s="3" t="s">
        <v>4160</v>
      </c>
      <c r="I13" s="3" t="s">
        <v>4162</v>
      </c>
      <c r="J13" s="3" t="s">
        <v>4164</v>
      </c>
      <c r="K13" s="40" t="s">
        <v>3151</v>
      </c>
      <c r="L13" s="43" t="s">
        <v>4167</v>
      </c>
    </row>
    <row r="14">
      <c r="A14" s="3" t="s">
        <v>4169</v>
      </c>
      <c r="B14" s="3" t="s">
        <v>4171</v>
      </c>
      <c r="C14" s="3" t="s">
        <v>1382</v>
      </c>
      <c r="D14" s="3" t="s">
        <v>4173</v>
      </c>
      <c r="E14" s="3" t="s">
        <v>3114</v>
      </c>
      <c r="F14" s="3" t="s">
        <v>4176</v>
      </c>
      <c r="G14" s="3" t="s">
        <v>4177</v>
      </c>
      <c r="H14" s="3" t="s">
        <v>4178</v>
      </c>
      <c r="I14" s="3" t="s">
        <v>4188</v>
      </c>
      <c r="J14" s="3" t="s">
        <v>4190</v>
      </c>
      <c r="K14" s="40" t="s">
        <v>3151</v>
      </c>
      <c r="L14" s="43" t="s">
        <v>1874</v>
      </c>
    </row>
    <row r="15">
      <c r="A15" s="3" t="s">
        <v>4195</v>
      </c>
      <c r="B15" s="3" t="s">
        <v>4197</v>
      </c>
      <c r="C15" s="3" t="s">
        <v>1382</v>
      </c>
      <c r="D15" s="3" t="s">
        <v>4200</v>
      </c>
      <c r="E15" s="3" t="s">
        <v>4202</v>
      </c>
      <c r="F15" s="3" t="s">
        <v>4204</v>
      </c>
      <c r="G15" s="3" t="s">
        <v>4205</v>
      </c>
      <c r="H15" s="3" t="s">
        <v>4207</v>
      </c>
      <c r="I15" s="3" t="s">
        <v>4208</v>
      </c>
      <c r="J15" s="3" t="s">
        <v>4210</v>
      </c>
      <c r="K15" s="40" t="s">
        <v>3151</v>
      </c>
      <c r="L15" s="43" t="s">
        <v>1874</v>
      </c>
    </row>
    <row r="16">
      <c r="A16" s="3" t="s">
        <v>4215</v>
      </c>
      <c r="B16" s="3" t="s">
        <v>4216</v>
      </c>
      <c r="C16" s="3" t="s">
        <v>1382</v>
      </c>
      <c r="D16" s="3" t="s">
        <v>4220</v>
      </c>
      <c r="E16" s="3" t="s">
        <v>3711</v>
      </c>
      <c r="F16" s="3" t="s">
        <v>4222</v>
      </c>
      <c r="G16" s="3" t="s">
        <v>4224</v>
      </c>
      <c r="H16" s="3" t="s">
        <v>4226</v>
      </c>
      <c r="I16" s="3" t="s">
        <v>4229</v>
      </c>
      <c r="J16" s="3" t="s">
        <v>4231</v>
      </c>
      <c r="K16" s="40" t="s">
        <v>3151</v>
      </c>
      <c r="L16" s="43" t="s">
        <v>1874</v>
      </c>
    </row>
    <row r="17">
      <c r="A17" s="3" t="s">
        <v>4236</v>
      </c>
      <c r="B17" s="3" t="s">
        <v>4237</v>
      </c>
      <c r="C17" s="3" t="s">
        <v>1359</v>
      </c>
      <c r="D17" s="3" t="s">
        <v>4239</v>
      </c>
      <c r="E17" s="3" t="s">
        <v>4241</v>
      </c>
      <c r="F17" s="3" t="s">
        <v>4243</v>
      </c>
      <c r="G17" s="3" t="s">
        <v>4245</v>
      </c>
      <c r="H17" s="3" t="s">
        <v>4246</v>
      </c>
      <c r="I17" s="3" t="s">
        <v>4248</v>
      </c>
      <c r="J17" s="3" t="s">
        <v>4250</v>
      </c>
      <c r="K17" s="40" t="s">
        <v>3151</v>
      </c>
      <c r="L17" s="43" t="s">
        <v>4255</v>
      </c>
    </row>
    <row r="18">
      <c r="A18" s="3" t="s">
        <v>4256</v>
      </c>
      <c r="B18" s="3" t="s">
        <v>4257</v>
      </c>
      <c r="C18" s="3" t="s">
        <v>1382</v>
      </c>
      <c r="D18" s="3" t="s">
        <v>4264</v>
      </c>
      <c r="E18" s="3" t="s">
        <v>4267</v>
      </c>
      <c r="F18" s="3" t="s">
        <v>4269</v>
      </c>
      <c r="G18" s="3" t="s">
        <v>4271</v>
      </c>
      <c r="H18" s="3" t="s">
        <v>4274</v>
      </c>
      <c r="I18" s="3" t="s">
        <v>4277</v>
      </c>
      <c r="J18" s="3" t="s">
        <v>4278</v>
      </c>
      <c r="K18" s="40" t="s">
        <v>3151</v>
      </c>
      <c r="L18" s="43" t="s">
        <v>4286</v>
      </c>
    </row>
    <row r="19">
      <c r="A19" s="3" t="s">
        <v>4287</v>
      </c>
      <c r="B19" s="3" t="s">
        <v>4288</v>
      </c>
      <c r="C19" s="3" t="s">
        <v>1382</v>
      </c>
      <c r="D19" s="3" t="s">
        <v>4290</v>
      </c>
      <c r="E19" s="3" t="s">
        <v>4292</v>
      </c>
      <c r="F19" s="3" t="s">
        <v>4294</v>
      </c>
      <c r="G19" s="3" t="s">
        <v>4205</v>
      </c>
      <c r="H19" s="3" t="s">
        <v>4298</v>
      </c>
      <c r="I19" s="3" t="s">
        <v>4301</v>
      </c>
      <c r="J19" s="3" t="s">
        <v>4304</v>
      </c>
      <c r="K19" s="40" t="s">
        <v>3151</v>
      </c>
      <c r="L19" s="43" t="s">
        <v>1874</v>
      </c>
    </row>
    <row r="20">
      <c r="A20" s="3" t="s">
        <v>4312</v>
      </c>
      <c r="B20" s="3" t="s">
        <v>4314</v>
      </c>
      <c r="C20" s="3" t="s">
        <v>1382</v>
      </c>
      <c r="D20" s="3" t="s">
        <v>4316</v>
      </c>
      <c r="E20" s="3" t="s">
        <v>4319</v>
      </c>
      <c r="F20" s="3" t="s">
        <v>4320</v>
      </c>
      <c r="G20" s="3" t="s">
        <v>4205</v>
      </c>
      <c r="H20" s="3" t="s">
        <v>4324</v>
      </c>
      <c r="I20" s="3" t="s">
        <v>4325</v>
      </c>
      <c r="J20" s="3" t="s">
        <v>4327</v>
      </c>
      <c r="K20" s="40" t="s">
        <v>3151</v>
      </c>
      <c r="L20" s="43" t="s">
        <v>4084</v>
      </c>
    </row>
    <row r="21">
      <c r="A21" s="3" t="s">
        <v>4333</v>
      </c>
      <c r="B21" s="3" t="s">
        <v>4334</v>
      </c>
      <c r="C21" s="3" t="s">
        <v>1382</v>
      </c>
      <c r="D21" s="3" t="s">
        <v>4338</v>
      </c>
      <c r="E21" s="3" t="s">
        <v>3711</v>
      </c>
      <c r="F21" s="3" t="s">
        <v>4340</v>
      </c>
      <c r="G21" s="3" t="s">
        <v>4205</v>
      </c>
      <c r="H21" s="3" t="s">
        <v>4342</v>
      </c>
      <c r="I21" s="3" t="s">
        <v>4343</v>
      </c>
      <c r="J21" s="3" t="s">
        <v>4344</v>
      </c>
      <c r="K21" s="40" t="s">
        <v>3151</v>
      </c>
      <c r="L21" s="43" t="s">
        <v>4346</v>
      </c>
    </row>
    <row r="22">
      <c r="A22" s="3" t="s">
        <v>4348</v>
      </c>
      <c r="B22" s="3" t="s">
        <v>4349</v>
      </c>
      <c r="C22" s="3" t="s">
        <v>1382</v>
      </c>
      <c r="D22" s="3" t="s">
        <v>4351</v>
      </c>
      <c r="E22" s="3" t="s">
        <v>3970</v>
      </c>
      <c r="F22" s="3" t="s">
        <v>4353</v>
      </c>
      <c r="G22" s="3" t="s">
        <v>4354</v>
      </c>
      <c r="H22" s="3" t="s">
        <v>4355</v>
      </c>
      <c r="I22" s="3" t="s">
        <v>4357</v>
      </c>
      <c r="J22" s="3" t="s">
        <v>4359</v>
      </c>
      <c r="K22" s="40" t="s">
        <v>3151</v>
      </c>
      <c r="L22" s="43" t="s">
        <v>4361</v>
      </c>
    </row>
    <row r="23">
      <c r="A23" s="3" t="s">
        <v>4362</v>
      </c>
      <c r="B23" s="3" t="s">
        <v>4364</v>
      </c>
      <c r="C23" s="3" t="s">
        <v>1382</v>
      </c>
      <c r="D23" s="3" t="s">
        <v>4366</v>
      </c>
      <c r="E23" s="3" t="s">
        <v>4368</v>
      </c>
      <c r="F23" s="3" t="s">
        <v>4369</v>
      </c>
      <c r="G23" s="3" t="s">
        <v>4205</v>
      </c>
      <c r="H23" s="3" t="s">
        <v>4372</v>
      </c>
      <c r="I23" s="3" t="s">
        <v>4373</v>
      </c>
      <c r="J23" s="3" t="s">
        <v>4375</v>
      </c>
      <c r="K23" s="40" t="s">
        <v>3151</v>
      </c>
      <c r="L23" s="43" t="s">
        <v>4377</v>
      </c>
    </row>
    <row r="24">
      <c r="A24" s="3" t="s">
        <v>4379</v>
      </c>
      <c r="B24" s="3" t="s">
        <v>4383</v>
      </c>
      <c r="C24" s="3" t="s">
        <v>1382</v>
      </c>
      <c r="D24" s="3" t="s">
        <v>4386</v>
      </c>
      <c r="E24" s="3" t="s">
        <v>4389</v>
      </c>
      <c r="F24" s="3" t="s">
        <v>4391</v>
      </c>
      <c r="G24" s="3" t="s">
        <v>4205</v>
      </c>
      <c r="H24" s="3" t="s">
        <v>4396</v>
      </c>
      <c r="I24" s="3" t="s">
        <v>4399</v>
      </c>
      <c r="J24" s="3" t="s">
        <v>4403</v>
      </c>
      <c r="K24" s="40" t="s">
        <v>4119</v>
      </c>
      <c r="L24" s="43" t="s">
        <v>4454</v>
      </c>
    </row>
    <row r="25">
      <c r="A25" s="3" t="s">
        <v>4457</v>
      </c>
      <c r="B25" s="3" t="s">
        <v>4463</v>
      </c>
      <c r="C25" s="3" t="s">
        <v>1382</v>
      </c>
      <c r="D25" s="3" t="s">
        <v>4465</v>
      </c>
      <c r="E25" s="3" t="s">
        <v>4389</v>
      </c>
      <c r="F25" s="3" t="s">
        <v>4469</v>
      </c>
      <c r="G25" s="3" t="s">
        <v>4205</v>
      </c>
      <c r="H25" s="3" t="s">
        <v>4470</v>
      </c>
      <c r="I25" s="3" t="s">
        <v>4472</v>
      </c>
      <c r="J25" s="3" t="s">
        <v>4474</v>
      </c>
      <c r="K25" s="40" t="s">
        <v>4119</v>
      </c>
      <c r="L25" s="43" t="s">
        <v>4477</v>
      </c>
    </row>
    <row r="26">
      <c r="A26" s="3" t="s">
        <v>4479</v>
      </c>
      <c r="B26" s="3" t="s">
        <v>4481</v>
      </c>
      <c r="C26" s="3" t="s">
        <v>328</v>
      </c>
      <c r="D26" s="3" t="s">
        <v>4485</v>
      </c>
      <c r="E26" s="3" t="s">
        <v>4486</v>
      </c>
      <c r="F26" s="3" t="s">
        <v>4487</v>
      </c>
      <c r="G26" s="3" t="s">
        <v>4489</v>
      </c>
      <c r="H26" s="3" t="s">
        <v>4491</v>
      </c>
      <c r="I26" s="3" t="s">
        <v>4494</v>
      </c>
      <c r="J26" s="3" t="s">
        <v>4496</v>
      </c>
      <c r="K26" s="40" t="s">
        <v>3151</v>
      </c>
      <c r="L26" s="43" t="s">
        <v>2252</v>
      </c>
    </row>
    <row r="27">
      <c r="A27" s="3" t="s">
        <v>4503</v>
      </c>
      <c r="B27" s="3" t="s">
        <v>4505</v>
      </c>
      <c r="C27" s="3" t="s">
        <v>1382</v>
      </c>
      <c r="D27" s="3" t="s">
        <v>4507</v>
      </c>
      <c r="E27" s="3" t="s">
        <v>4510</v>
      </c>
      <c r="F27" s="3" t="s">
        <v>4513</v>
      </c>
      <c r="G27" s="3" t="s">
        <v>4514</v>
      </c>
      <c r="H27" s="3" t="s">
        <v>4516</v>
      </c>
      <c r="I27" s="3" t="s">
        <v>4518</v>
      </c>
      <c r="J27" s="3" t="s">
        <v>4519</v>
      </c>
      <c r="K27" s="40" t="s">
        <v>3151</v>
      </c>
      <c r="L27" s="43" t="s">
        <v>4521</v>
      </c>
    </row>
    <row r="28">
      <c r="A28" s="3" t="s">
        <v>4523</v>
      </c>
      <c r="B28" s="3" t="s">
        <v>4524</v>
      </c>
      <c r="C28" s="3" t="s">
        <v>328</v>
      </c>
      <c r="D28" s="3" t="s">
        <v>4526</v>
      </c>
      <c r="E28" s="3" t="s">
        <v>2811</v>
      </c>
      <c r="F28" s="3" t="s">
        <v>4528</v>
      </c>
      <c r="G28" s="3" t="s">
        <v>4530</v>
      </c>
      <c r="H28" s="3" t="s">
        <v>4531</v>
      </c>
      <c r="I28" s="3" t="s">
        <v>4532</v>
      </c>
      <c r="J28" s="3" t="s">
        <v>4533</v>
      </c>
      <c r="K28" s="40" t="s">
        <v>676</v>
      </c>
      <c r="L28" s="43" t="s">
        <v>2332</v>
      </c>
    </row>
    <row r="29">
      <c r="A29" s="3" t="s">
        <v>4564</v>
      </c>
      <c r="B29" s="3" t="s">
        <v>2335</v>
      </c>
      <c r="C29" s="3" t="s">
        <v>328</v>
      </c>
      <c r="D29" s="3" t="s">
        <v>4567</v>
      </c>
      <c r="E29" s="3" t="s">
        <v>3863</v>
      </c>
      <c r="F29" s="3" t="s">
        <v>4569</v>
      </c>
      <c r="G29" s="3" t="s">
        <v>4571</v>
      </c>
      <c r="H29" s="3" t="s">
        <v>4573</v>
      </c>
      <c r="I29" s="3" t="s">
        <v>4575</v>
      </c>
      <c r="J29" s="3" t="s">
        <v>4577</v>
      </c>
      <c r="K29" s="40" t="s">
        <v>1092</v>
      </c>
      <c r="L29" s="43" t="s">
        <v>1128</v>
      </c>
    </row>
    <row r="30">
      <c r="A30" s="3" t="s">
        <v>4622</v>
      </c>
      <c r="B30" s="3" t="s">
        <v>2352</v>
      </c>
      <c r="C30" s="3" t="s">
        <v>333</v>
      </c>
      <c r="D30" s="3" t="s">
        <v>4626</v>
      </c>
      <c r="E30" s="3" t="s">
        <v>4627</v>
      </c>
      <c r="F30" s="3" t="s">
        <v>4628</v>
      </c>
      <c r="G30" s="3" t="s">
        <v>2361</v>
      </c>
      <c r="H30" s="3" t="s">
        <v>4632</v>
      </c>
      <c r="I30" s="3" t="s">
        <v>4634</v>
      </c>
      <c r="J30" s="3" t="s">
        <v>4636</v>
      </c>
      <c r="K30" s="40" t="s">
        <v>676</v>
      </c>
      <c r="L30" s="43" t="s">
        <v>2378</v>
      </c>
    </row>
  </sheetData>
  <autoFilter ref="$A$1:$L$30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</hyperlinks>
  <drawing r:id="rId3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6" width="20.75"/>
    <col customWidth="1" min="7" max="10" width="18.88"/>
    <col customWidth="1" min="11" max="18" width="21.38"/>
  </cols>
  <sheetData>
    <row r="1">
      <c r="A1" s="44" t="s">
        <v>495</v>
      </c>
      <c r="B1" s="44" t="s">
        <v>7</v>
      </c>
      <c r="C1" s="44" t="s">
        <v>9</v>
      </c>
      <c r="D1" s="44" t="s">
        <v>498</v>
      </c>
      <c r="E1" s="44" t="s">
        <v>499</v>
      </c>
      <c r="F1" s="44" t="s">
        <v>500</v>
      </c>
      <c r="G1" s="44" t="s">
        <v>501</v>
      </c>
      <c r="H1" s="44" t="s">
        <v>404</v>
      </c>
      <c r="I1" s="44" t="s">
        <v>503</v>
      </c>
      <c r="J1" s="44" t="s">
        <v>505</v>
      </c>
      <c r="K1" s="44" t="s">
        <v>407</v>
      </c>
      <c r="L1" s="44" t="s">
        <v>410</v>
      </c>
      <c r="M1" s="44" t="s">
        <v>507</v>
      </c>
      <c r="N1" s="44" t="s">
        <v>508</v>
      </c>
      <c r="O1" s="44" t="s">
        <v>509</v>
      </c>
      <c r="P1" s="44" t="s">
        <v>34</v>
      </c>
      <c r="Q1" s="44" t="s">
        <v>37</v>
      </c>
      <c r="R1" s="44" t="s">
        <v>29</v>
      </c>
    </row>
    <row r="2">
      <c r="A2" s="3" t="s">
        <v>4261</v>
      </c>
      <c r="B2" s="3" t="s">
        <v>4262</v>
      </c>
      <c r="C2" s="3" t="s">
        <v>4263</v>
      </c>
      <c r="D2" s="3" t="s">
        <v>4266</v>
      </c>
      <c r="E2" s="3" t="s">
        <v>4268</v>
      </c>
      <c r="F2" s="3" t="s">
        <v>4272</v>
      </c>
      <c r="G2" s="3" t="s">
        <v>4276</v>
      </c>
      <c r="H2" s="3" t="s">
        <v>4280</v>
      </c>
      <c r="I2" s="3" t="s">
        <v>4281</v>
      </c>
      <c r="J2" s="3" t="s">
        <v>4284</v>
      </c>
      <c r="K2" s="3" t="s">
        <v>1422</v>
      </c>
      <c r="L2" s="3" t="s">
        <v>196</v>
      </c>
      <c r="M2" s="3" t="s">
        <v>4291</v>
      </c>
      <c r="N2" s="3" t="s">
        <v>4295</v>
      </c>
      <c r="O2" s="3" t="s">
        <v>4300</v>
      </c>
      <c r="P2" s="3" t="s">
        <v>4305</v>
      </c>
      <c r="Q2" s="40" t="s">
        <v>4310</v>
      </c>
      <c r="R2" s="43" t="s">
        <v>64</v>
      </c>
    </row>
    <row r="3">
      <c r="A3" s="3" t="s">
        <v>4382</v>
      </c>
      <c r="B3" s="3" t="s">
        <v>4384</v>
      </c>
      <c r="C3" s="3" t="s">
        <v>4263</v>
      </c>
      <c r="D3" s="3" t="s">
        <v>4387</v>
      </c>
      <c r="E3" s="3" t="s">
        <v>4390</v>
      </c>
      <c r="F3" s="3" t="s">
        <v>4393</v>
      </c>
      <c r="G3" s="3" t="s">
        <v>4395</v>
      </c>
      <c r="H3" s="3" t="s">
        <v>562</v>
      </c>
      <c r="I3" s="3" t="s">
        <v>4281</v>
      </c>
      <c r="J3" s="3" t="s">
        <v>4397</v>
      </c>
      <c r="K3" s="3" t="s">
        <v>1422</v>
      </c>
      <c r="L3" s="3" t="s">
        <v>59</v>
      </c>
      <c r="M3" s="3" t="s">
        <v>4401</v>
      </c>
      <c r="N3" s="3" t="s">
        <v>4404</v>
      </c>
      <c r="O3" s="3" t="s">
        <v>4405</v>
      </c>
      <c r="P3" s="3" t="s">
        <v>4407</v>
      </c>
      <c r="Q3" s="40" t="s">
        <v>4310</v>
      </c>
      <c r="R3" s="43" t="s">
        <v>64</v>
      </c>
    </row>
    <row r="4">
      <c r="A4" s="3" t="s">
        <v>4414</v>
      </c>
      <c r="B4" s="3" t="s">
        <v>4384</v>
      </c>
      <c r="C4" s="3" t="s">
        <v>4263</v>
      </c>
      <c r="D4" s="3" t="s">
        <v>4418</v>
      </c>
      <c r="E4" s="3" t="s">
        <v>4419</v>
      </c>
      <c r="F4" s="3" t="s">
        <v>4421</v>
      </c>
      <c r="G4" s="3" t="s">
        <v>4423</v>
      </c>
      <c r="H4" s="3" t="s">
        <v>4425</v>
      </c>
      <c r="I4" s="3" t="s">
        <v>4427</v>
      </c>
      <c r="J4" s="3" t="s">
        <v>4429</v>
      </c>
      <c r="K4" s="3" t="s">
        <v>1422</v>
      </c>
      <c r="L4" s="3" t="s">
        <v>59</v>
      </c>
      <c r="M4" s="3" t="s">
        <v>4432</v>
      </c>
      <c r="N4" s="3" t="s">
        <v>4434</v>
      </c>
      <c r="O4" s="3" t="s">
        <v>4436</v>
      </c>
      <c r="P4" s="3" t="s">
        <v>4438</v>
      </c>
      <c r="Q4" s="40" t="s">
        <v>4439</v>
      </c>
      <c r="R4" s="43" t="s">
        <v>64</v>
      </c>
    </row>
    <row r="5">
      <c r="A5" s="3" t="s">
        <v>4488</v>
      </c>
      <c r="B5" s="3" t="s">
        <v>99</v>
      </c>
      <c r="C5" s="3" t="s">
        <v>4492</v>
      </c>
      <c r="D5" s="3" t="s">
        <v>4495</v>
      </c>
      <c r="E5" s="3" t="s">
        <v>4498</v>
      </c>
      <c r="F5" s="3" t="s">
        <v>4500</v>
      </c>
      <c r="G5" s="3" t="s">
        <v>4502</v>
      </c>
      <c r="H5" s="3" t="s">
        <v>562</v>
      </c>
      <c r="I5" s="3" t="s">
        <v>4508</v>
      </c>
      <c r="J5" s="3" t="s">
        <v>4512</v>
      </c>
      <c r="K5" s="3" t="s">
        <v>1422</v>
      </c>
      <c r="L5" s="3" t="s">
        <v>59</v>
      </c>
      <c r="M5" s="3" t="s">
        <v>4536</v>
      </c>
      <c r="N5" s="3" t="s">
        <v>4538</v>
      </c>
      <c r="O5" s="3" t="s">
        <v>4539</v>
      </c>
      <c r="P5" s="3" t="s">
        <v>4541</v>
      </c>
      <c r="Q5" s="40" t="s">
        <v>4543</v>
      </c>
      <c r="R5" s="43" t="s">
        <v>64</v>
      </c>
    </row>
    <row r="6">
      <c r="A6" s="3" t="s">
        <v>4582</v>
      </c>
      <c r="B6" s="3" t="s">
        <v>99</v>
      </c>
      <c r="C6" s="3" t="s">
        <v>4492</v>
      </c>
      <c r="D6" s="3" t="s">
        <v>4584</v>
      </c>
      <c r="E6" s="3" t="s">
        <v>4586</v>
      </c>
      <c r="F6" s="3" t="s">
        <v>4587</v>
      </c>
      <c r="G6" s="3" t="s">
        <v>4588</v>
      </c>
      <c r="H6" s="3" t="s">
        <v>562</v>
      </c>
      <c r="I6" s="3" t="s">
        <v>4589</v>
      </c>
      <c r="J6" s="3" t="s">
        <v>4512</v>
      </c>
      <c r="K6" s="3" t="s">
        <v>1422</v>
      </c>
      <c r="L6" s="3" t="s">
        <v>59</v>
      </c>
      <c r="M6" s="3" t="s">
        <v>4593</v>
      </c>
      <c r="N6" s="3" t="s">
        <v>4594</v>
      </c>
      <c r="O6" s="3" t="s">
        <v>4596</v>
      </c>
      <c r="P6" s="3" t="s">
        <v>4597</v>
      </c>
      <c r="Q6" s="40" t="s">
        <v>4543</v>
      </c>
      <c r="R6" s="43" t="s">
        <v>64</v>
      </c>
    </row>
    <row r="7">
      <c r="A7" s="3" t="s">
        <v>4600</v>
      </c>
      <c r="B7" s="3" t="s">
        <v>4601</v>
      </c>
      <c r="C7" s="3" t="s">
        <v>4492</v>
      </c>
      <c r="D7" s="3" t="s">
        <v>4602</v>
      </c>
      <c r="E7" s="3" t="s">
        <v>4604</v>
      </c>
      <c r="F7" s="3" t="s">
        <v>4606</v>
      </c>
      <c r="G7" s="3" t="s">
        <v>4608</v>
      </c>
      <c r="H7" s="3" t="s">
        <v>4609</v>
      </c>
      <c r="I7" s="3" t="s">
        <v>4610</v>
      </c>
      <c r="J7" s="3" t="s">
        <v>4512</v>
      </c>
      <c r="K7" s="3" t="s">
        <v>1422</v>
      </c>
      <c r="L7" s="3" t="s">
        <v>59</v>
      </c>
      <c r="M7" s="3" t="s">
        <v>4612</v>
      </c>
      <c r="N7" s="3" t="s">
        <v>4614</v>
      </c>
      <c r="O7" s="3" t="s">
        <v>4616</v>
      </c>
      <c r="P7" s="3" t="s">
        <v>4617</v>
      </c>
      <c r="Q7" s="40" t="s">
        <v>987</v>
      </c>
      <c r="R7" s="43" t="s">
        <v>64</v>
      </c>
    </row>
    <row r="8">
      <c r="A8" s="3" t="s">
        <v>4646</v>
      </c>
      <c r="B8" s="3" t="s">
        <v>99</v>
      </c>
      <c r="C8" s="3" t="s">
        <v>4648</v>
      </c>
      <c r="D8" s="3" t="s">
        <v>4649</v>
      </c>
      <c r="E8" s="3" t="s">
        <v>4650</v>
      </c>
      <c r="F8" s="3" t="s">
        <v>4651</v>
      </c>
      <c r="G8" s="3" t="s">
        <v>4652</v>
      </c>
      <c r="H8" s="3" t="s">
        <v>562</v>
      </c>
      <c r="I8" s="3" t="s">
        <v>4655</v>
      </c>
      <c r="J8" s="3" t="s">
        <v>4658</v>
      </c>
      <c r="K8" s="3" t="s">
        <v>1422</v>
      </c>
      <c r="L8" s="3" t="s">
        <v>59</v>
      </c>
      <c r="M8" s="3" t="s">
        <v>4661</v>
      </c>
      <c r="N8" s="3" t="s">
        <v>4663</v>
      </c>
      <c r="O8" s="3" t="s">
        <v>4665</v>
      </c>
      <c r="P8" s="3" t="s">
        <v>4666</v>
      </c>
      <c r="Q8" s="40" t="s">
        <v>4668</v>
      </c>
      <c r="R8" s="43" t="s">
        <v>64</v>
      </c>
    </row>
    <row r="9">
      <c r="A9" s="3" t="s">
        <v>4719</v>
      </c>
      <c r="B9" s="3" t="s">
        <v>4384</v>
      </c>
      <c r="C9" s="3" t="s">
        <v>4648</v>
      </c>
      <c r="D9" s="3" t="s">
        <v>4722</v>
      </c>
      <c r="E9" s="3" t="s">
        <v>4723</v>
      </c>
      <c r="F9" s="3" t="s">
        <v>4725</v>
      </c>
      <c r="G9" s="3" t="s">
        <v>4727</v>
      </c>
      <c r="H9" s="3" t="s">
        <v>562</v>
      </c>
      <c r="I9" s="3" t="s">
        <v>4281</v>
      </c>
      <c r="J9" s="3" t="s">
        <v>2071</v>
      </c>
      <c r="K9" s="3" t="s">
        <v>1422</v>
      </c>
      <c r="L9" s="3" t="s">
        <v>196</v>
      </c>
      <c r="M9" s="3" t="s">
        <v>4732</v>
      </c>
      <c r="N9" s="3" t="s">
        <v>4734</v>
      </c>
      <c r="O9" s="3" t="s">
        <v>4735</v>
      </c>
      <c r="P9" s="3" t="s">
        <v>4737</v>
      </c>
      <c r="Q9" s="40" t="s">
        <v>4740</v>
      </c>
      <c r="R9" s="43" t="s">
        <v>64</v>
      </c>
    </row>
    <row r="10">
      <c r="A10" s="3" t="s">
        <v>4788</v>
      </c>
      <c r="B10" s="3" t="s">
        <v>4384</v>
      </c>
      <c r="C10" s="3" t="s">
        <v>4648</v>
      </c>
      <c r="D10" s="3" t="s">
        <v>4791</v>
      </c>
      <c r="E10" s="3" t="s">
        <v>4793</v>
      </c>
      <c r="F10" s="3" t="s">
        <v>4796</v>
      </c>
      <c r="G10" s="3" t="s">
        <v>4798</v>
      </c>
      <c r="H10" s="3" t="s">
        <v>562</v>
      </c>
      <c r="I10" s="3" t="s">
        <v>4281</v>
      </c>
      <c r="J10" s="3" t="s">
        <v>4801</v>
      </c>
      <c r="K10" s="3" t="s">
        <v>1422</v>
      </c>
      <c r="L10" s="3" t="s">
        <v>196</v>
      </c>
      <c r="M10" s="3" t="s">
        <v>4805</v>
      </c>
      <c r="N10" s="3" t="s">
        <v>4807</v>
      </c>
      <c r="O10" s="3" t="s">
        <v>4808</v>
      </c>
      <c r="P10" s="3" t="s">
        <v>4810</v>
      </c>
      <c r="Q10" s="40" t="s">
        <v>698</v>
      </c>
      <c r="R10" s="43" t="s">
        <v>64</v>
      </c>
    </row>
    <row r="11">
      <c r="A11" s="3" t="s">
        <v>4856</v>
      </c>
      <c r="B11" s="3" t="s">
        <v>99</v>
      </c>
      <c r="C11" s="3" t="s">
        <v>4860</v>
      </c>
      <c r="D11" s="3" t="s">
        <v>4863</v>
      </c>
      <c r="E11" s="3" t="s">
        <v>4864</v>
      </c>
      <c r="F11" s="3" t="s">
        <v>4866</v>
      </c>
      <c r="G11" s="3" t="s">
        <v>4869</v>
      </c>
      <c r="H11" s="3" t="s">
        <v>562</v>
      </c>
      <c r="I11" s="3" t="s">
        <v>4872</v>
      </c>
      <c r="J11" s="3" t="s">
        <v>4874</v>
      </c>
      <c r="K11" s="3" t="s">
        <v>1422</v>
      </c>
      <c r="L11" s="3" t="s">
        <v>59</v>
      </c>
      <c r="M11" s="3" t="s">
        <v>4883</v>
      </c>
      <c r="N11" s="3" t="s">
        <v>4887</v>
      </c>
      <c r="O11" s="3" t="s">
        <v>4890</v>
      </c>
      <c r="P11" s="3" t="s">
        <v>4892</v>
      </c>
      <c r="Q11" s="40" t="s">
        <v>698</v>
      </c>
      <c r="R11" s="43" t="s">
        <v>64</v>
      </c>
    </row>
    <row r="12">
      <c r="A12" s="3" t="s">
        <v>4902</v>
      </c>
      <c r="B12" s="3" t="s">
        <v>99</v>
      </c>
      <c r="C12" s="3" t="s">
        <v>4860</v>
      </c>
      <c r="D12" s="3" t="s">
        <v>4908</v>
      </c>
      <c r="E12" s="3" t="s">
        <v>4909</v>
      </c>
      <c r="F12" s="3" t="s">
        <v>4913</v>
      </c>
      <c r="G12" s="3" t="s">
        <v>4915</v>
      </c>
      <c r="H12" s="3" t="s">
        <v>562</v>
      </c>
      <c r="I12" s="3" t="s">
        <v>4919</v>
      </c>
      <c r="J12" s="3" t="s">
        <v>2455</v>
      </c>
      <c r="K12" s="3" t="s">
        <v>1422</v>
      </c>
      <c r="L12" s="3" t="s">
        <v>59</v>
      </c>
      <c r="M12" s="3" t="s">
        <v>4923</v>
      </c>
      <c r="N12" s="3" t="s">
        <v>4926</v>
      </c>
      <c r="O12" s="3" t="s">
        <v>4928</v>
      </c>
      <c r="P12" s="3" t="s">
        <v>4892</v>
      </c>
      <c r="Q12" s="40" t="s">
        <v>698</v>
      </c>
      <c r="R12" s="43" t="s">
        <v>64</v>
      </c>
    </row>
    <row r="13">
      <c r="A13" s="3" t="s">
        <v>4935</v>
      </c>
      <c r="B13" s="3" t="s">
        <v>4938</v>
      </c>
      <c r="C13" s="3" t="s">
        <v>4823</v>
      </c>
      <c r="D13" s="3" t="s">
        <v>4942</v>
      </c>
      <c r="E13" s="3" t="s">
        <v>4944</v>
      </c>
      <c r="F13" s="3" t="s">
        <v>4948</v>
      </c>
      <c r="G13" s="3" t="s">
        <v>4954</v>
      </c>
      <c r="H13" s="3" t="s">
        <v>562</v>
      </c>
      <c r="I13" s="3" t="s">
        <v>4960</v>
      </c>
      <c r="J13" s="3" t="s">
        <v>4963</v>
      </c>
      <c r="K13" s="3" t="s">
        <v>1422</v>
      </c>
      <c r="L13" s="3" t="s">
        <v>59</v>
      </c>
      <c r="M13" s="3" t="s">
        <v>4972</v>
      </c>
      <c r="N13" s="3" t="s">
        <v>4976</v>
      </c>
      <c r="O13" s="3" t="s">
        <v>4979</v>
      </c>
      <c r="P13" s="3" t="s">
        <v>4981</v>
      </c>
      <c r="Q13" s="40" t="s">
        <v>1010</v>
      </c>
      <c r="R13" s="43" t="s">
        <v>64</v>
      </c>
    </row>
    <row r="14">
      <c r="A14" s="3" t="s">
        <v>5037</v>
      </c>
      <c r="B14" s="3" t="s">
        <v>4938</v>
      </c>
      <c r="C14" s="3" t="s">
        <v>4823</v>
      </c>
      <c r="D14" s="3" t="s">
        <v>5042</v>
      </c>
      <c r="E14" s="3" t="s">
        <v>5044</v>
      </c>
      <c r="F14" s="3" t="s">
        <v>5047</v>
      </c>
      <c r="G14" s="3" t="s">
        <v>5050</v>
      </c>
      <c r="H14" s="3" t="s">
        <v>562</v>
      </c>
      <c r="I14" s="3" t="s">
        <v>5055</v>
      </c>
      <c r="J14" s="3" t="s">
        <v>5060</v>
      </c>
      <c r="K14" s="3" t="s">
        <v>1422</v>
      </c>
      <c r="L14" s="3" t="s">
        <v>59</v>
      </c>
      <c r="M14" s="3" t="s">
        <v>5070</v>
      </c>
      <c r="N14" s="3" t="s">
        <v>5072</v>
      </c>
      <c r="O14" s="3" t="s">
        <v>5075</v>
      </c>
      <c r="P14" s="3" t="s">
        <v>4892</v>
      </c>
      <c r="Q14" s="40" t="s">
        <v>698</v>
      </c>
      <c r="R14" s="43" t="s">
        <v>64</v>
      </c>
    </row>
    <row r="15">
      <c r="A15" s="3" t="s">
        <v>5082</v>
      </c>
      <c r="B15" s="3" t="s">
        <v>5083</v>
      </c>
      <c r="C15" s="3" t="s">
        <v>4860</v>
      </c>
      <c r="D15" s="3" t="s">
        <v>5087</v>
      </c>
      <c r="E15" s="3" t="s">
        <v>5090</v>
      </c>
      <c r="F15" s="3" t="s">
        <v>5092</v>
      </c>
      <c r="G15" s="3" t="s">
        <v>5095</v>
      </c>
      <c r="H15" s="3" t="s">
        <v>562</v>
      </c>
      <c r="I15" s="3" t="s">
        <v>5097</v>
      </c>
      <c r="J15" s="3" t="s">
        <v>5098</v>
      </c>
      <c r="K15" s="3" t="s">
        <v>1422</v>
      </c>
      <c r="L15" s="3" t="s">
        <v>59</v>
      </c>
      <c r="M15" s="3" t="s">
        <v>5103</v>
      </c>
      <c r="N15" s="3" t="s">
        <v>5105</v>
      </c>
      <c r="O15" s="3" t="s">
        <v>5108</v>
      </c>
      <c r="P15" s="3" t="s">
        <v>4892</v>
      </c>
      <c r="Q15" s="40" t="s">
        <v>698</v>
      </c>
      <c r="R15" s="43" t="s">
        <v>64</v>
      </c>
    </row>
    <row r="16">
      <c r="A16" s="3" t="s">
        <v>5112</v>
      </c>
      <c r="B16" s="3" t="s">
        <v>5115</v>
      </c>
      <c r="C16" s="3" t="s">
        <v>4823</v>
      </c>
      <c r="D16" s="3" t="s">
        <v>5120</v>
      </c>
      <c r="E16" s="3" t="s">
        <v>5122</v>
      </c>
      <c r="F16" s="3" t="s">
        <v>5125</v>
      </c>
      <c r="G16" s="3" t="s">
        <v>5127</v>
      </c>
      <c r="H16" s="3" t="s">
        <v>562</v>
      </c>
      <c r="I16" s="3" t="s">
        <v>5131</v>
      </c>
      <c r="J16" s="3" t="s">
        <v>5133</v>
      </c>
      <c r="K16" s="3" t="s">
        <v>1422</v>
      </c>
      <c r="L16" s="3" t="s">
        <v>59</v>
      </c>
      <c r="M16" s="3" t="s">
        <v>5140</v>
      </c>
      <c r="N16" s="3" t="s">
        <v>5143</v>
      </c>
      <c r="O16" s="3" t="s">
        <v>5145</v>
      </c>
      <c r="P16" s="3" t="s">
        <v>5150</v>
      </c>
      <c r="Q16" s="40" t="s">
        <v>4668</v>
      </c>
      <c r="R16" s="43" t="s">
        <v>64</v>
      </c>
    </row>
    <row r="17">
      <c r="A17" s="3" t="s">
        <v>5160</v>
      </c>
      <c r="B17" s="3" t="s">
        <v>5083</v>
      </c>
      <c r="C17" s="3" t="s">
        <v>5166</v>
      </c>
      <c r="D17" s="3" t="s">
        <v>5169</v>
      </c>
      <c r="E17" s="3" t="s">
        <v>5170</v>
      </c>
      <c r="F17" s="3" t="s">
        <v>5174</v>
      </c>
      <c r="G17" s="3" t="s">
        <v>5176</v>
      </c>
      <c r="H17" s="3" t="s">
        <v>562</v>
      </c>
      <c r="I17" s="3" t="s">
        <v>5180</v>
      </c>
      <c r="J17" s="3" t="s">
        <v>5183</v>
      </c>
      <c r="K17" s="3" t="s">
        <v>1422</v>
      </c>
      <c r="L17" s="3" t="s">
        <v>59</v>
      </c>
      <c r="M17" s="3" t="s">
        <v>5189</v>
      </c>
      <c r="N17" s="3" t="s">
        <v>5192</v>
      </c>
      <c r="O17" s="3" t="s">
        <v>5196</v>
      </c>
      <c r="P17" s="3" t="s">
        <v>4892</v>
      </c>
      <c r="Q17" s="40" t="s">
        <v>698</v>
      </c>
      <c r="R17" s="43" t="s">
        <v>64</v>
      </c>
    </row>
    <row r="18">
      <c r="A18" s="3" t="s">
        <v>5203</v>
      </c>
      <c r="B18" s="3" t="s">
        <v>99</v>
      </c>
      <c r="C18" s="3" t="s">
        <v>5166</v>
      </c>
      <c r="D18" s="3" t="s">
        <v>5206</v>
      </c>
      <c r="E18" s="3" t="s">
        <v>5208</v>
      </c>
      <c r="F18" s="3" t="s">
        <v>5211</v>
      </c>
      <c r="G18" s="3" t="s">
        <v>5214</v>
      </c>
      <c r="H18" s="3" t="s">
        <v>5216</v>
      </c>
      <c r="I18" s="3" t="s">
        <v>5219</v>
      </c>
      <c r="J18" s="3" t="s">
        <v>5221</v>
      </c>
      <c r="K18" s="3" t="s">
        <v>1422</v>
      </c>
      <c r="L18" s="3" t="s">
        <v>59</v>
      </c>
      <c r="M18" s="3" t="s">
        <v>5225</v>
      </c>
      <c r="N18" s="3" t="s">
        <v>5227</v>
      </c>
      <c r="O18" s="3" t="s">
        <v>5229</v>
      </c>
      <c r="P18" s="3" t="s">
        <v>5233</v>
      </c>
      <c r="Q18" s="40" t="s">
        <v>987</v>
      </c>
      <c r="R18" s="43" t="s">
        <v>64</v>
      </c>
    </row>
    <row r="19">
      <c r="A19" s="3" t="s">
        <v>5262</v>
      </c>
      <c r="B19" s="3" t="s">
        <v>99</v>
      </c>
      <c r="C19" s="3" t="s">
        <v>5166</v>
      </c>
      <c r="D19" s="3" t="s">
        <v>5266</v>
      </c>
      <c r="E19" s="3" t="s">
        <v>5267</v>
      </c>
      <c r="F19" s="3" t="s">
        <v>5272</v>
      </c>
      <c r="G19" s="3" t="s">
        <v>5275</v>
      </c>
      <c r="H19" s="3" t="s">
        <v>5277</v>
      </c>
      <c r="I19" s="3" t="s">
        <v>5278</v>
      </c>
      <c r="J19" s="3" t="s">
        <v>5281</v>
      </c>
      <c r="K19" s="3" t="s">
        <v>5283</v>
      </c>
      <c r="L19" s="3" t="s">
        <v>196</v>
      </c>
      <c r="M19" s="3" t="s">
        <v>5286</v>
      </c>
      <c r="N19" s="3" t="s">
        <v>5288</v>
      </c>
      <c r="O19" s="3" t="s">
        <v>5289</v>
      </c>
      <c r="P19" s="3" t="s">
        <v>4617</v>
      </c>
      <c r="Q19" s="40" t="s">
        <v>987</v>
      </c>
      <c r="R19" s="43" t="s">
        <v>64</v>
      </c>
    </row>
    <row r="20">
      <c r="A20" s="3" t="s">
        <v>5293</v>
      </c>
      <c r="B20" s="3" t="s">
        <v>99</v>
      </c>
      <c r="C20" s="3" t="s">
        <v>5166</v>
      </c>
      <c r="D20" s="3" t="s">
        <v>5296</v>
      </c>
      <c r="E20" s="3" t="s">
        <v>5298</v>
      </c>
      <c r="F20" s="3" t="s">
        <v>5300</v>
      </c>
      <c r="G20" s="3" t="s">
        <v>5302</v>
      </c>
      <c r="H20" s="3" t="s">
        <v>5304</v>
      </c>
      <c r="I20" s="3" t="s">
        <v>5306</v>
      </c>
      <c r="J20" s="3" t="s">
        <v>5308</v>
      </c>
      <c r="K20" s="3" t="s">
        <v>1422</v>
      </c>
      <c r="L20" s="3" t="s">
        <v>59</v>
      </c>
      <c r="M20" s="3" t="s">
        <v>5311</v>
      </c>
      <c r="N20" s="3" t="s">
        <v>5313</v>
      </c>
      <c r="O20" s="3" t="s">
        <v>5314</v>
      </c>
      <c r="P20" s="3" t="s">
        <v>4438</v>
      </c>
      <c r="Q20" s="40" t="s">
        <v>4439</v>
      </c>
      <c r="R20" s="43" t="s">
        <v>64</v>
      </c>
    </row>
    <row r="21">
      <c r="A21" s="3" t="s">
        <v>5318</v>
      </c>
      <c r="B21" s="3" t="s">
        <v>4601</v>
      </c>
      <c r="C21" s="3" t="s">
        <v>116</v>
      </c>
      <c r="D21" s="3" t="s">
        <v>5326</v>
      </c>
      <c r="E21" s="3" t="s">
        <v>5328</v>
      </c>
      <c r="F21" s="3" t="s">
        <v>5331</v>
      </c>
      <c r="G21" s="3" t="s">
        <v>5334</v>
      </c>
      <c r="H21" s="3" t="s">
        <v>2365</v>
      </c>
      <c r="I21" s="3" t="s">
        <v>5340</v>
      </c>
      <c r="J21" s="3" t="s">
        <v>5342</v>
      </c>
      <c r="K21" s="3" t="s">
        <v>1422</v>
      </c>
      <c r="L21" s="3" t="s">
        <v>59</v>
      </c>
      <c r="M21" s="3" t="s">
        <v>5348</v>
      </c>
      <c r="N21" s="3" t="s">
        <v>5350</v>
      </c>
      <c r="O21" s="3" t="s">
        <v>5352</v>
      </c>
      <c r="P21" s="3" t="s">
        <v>5355</v>
      </c>
      <c r="Q21" s="40" t="s">
        <v>1066</v>
      </c>
      <c r="R21" s="43" t="s">
        <v>64</v>
      </c>
    </row>
    <row r="22">
      <c r="A22" s="3" t="s">
        <v>5409</v>
      </c>
      <c r="B22" s="3" t="s">
        <v>5412</v>
      </c>
      <c r="C22" s="3" t="s">
        <v>116</v>
      </c>
      <c r="D22" s="3" t="s">
        <v>5415</v>
      </c>
      <c r="E22" s="3" t="s">
        <v>5417</v>
      </c>
      <c r="F22" s="3" t="s">
        <v>5419</v>
      </c>
      <c r="G22" s="3" t="s">
        <v>5420</v>
      </c>
      <c r="H22" s="3" t="s">
        <v>5421</v>
      </c>
      <c r="I22" s="3" t="s">
        <v>5423</v>
      </c>
      <c r="J22" s="3" t="s">
        <v>5425</v>
      </c>
      <c r="K22" s="3" t="s">
        <v>5283</v>
      </c>
      <c r="L22" s="3" t="s">
        <v>196</v>
      </c>
      <c r="M22" s="3" t="s">
        <v>5431</v>
      </c>
      <c r="N22" s="3" t="s">
        <v>5433</v>
      </c>
      <c r="O22" s="3" t="s">
        <v>5436</v>
      </c>
      <c r="P22" s="3" t="s">
        <v>5438</v>
      </c>
      <c r="Q22" s="40" t="s">
        <v>1066</v>
      </c>
      <c r="R22" s="43" t="s">
        <v>64</v>
      </c>
    </row>
    <row r="23">
      <c r="A23" s="3" t="s">
        <v>5443</v>
      </c>
      <c r="B23" s="3" t="s">
        <v>5446</v>
      </c>
      <c r="C23" s="3" t="s">
        <v>116</v>
      </c>
      <c r="D23" s="3" t="s">
        <v>5447</v>
      </c>
      <c r="E23" s="3" t="s">
        <v>5449</v>
      </c>
      <c r="F23" s="3" t="s">
        <v>5451</v>
      </c>
      <c r="G23" s="3" t="s">
        <v>2403</v>
      </c>
      <c r="H23" s="3" t="s">
        <v>5456</v>
      </c>
      <c r="I23" s="3" t="s">
        <v>5457</v>
      </c>
      <c r="J23" s="3" t="s">
        <v>5459</v>
      </c>
      <c r="K23" s="3" t="s">
        <v>1422</v>
      </c>
      <c r="L23" s="3" t="s">
        <v>59</v>
      </c>
      <c r="M23" s="3" t="s">
        <v>5464</v>
      </c>
      <c r="N23" s="3" t="s">
        <v>5466</v>
      </c>
      <c r="O23" s="3" t="s">
        <v>5468</v>
      </c>
      <c r="P23" s="3" t="s">
        <v>5470</v>
      </c>
      <c r="Q23" s="40" t="s">
        <v>1066</v>
      </c>
      <c r="R23" s="43" t="s">
        <v>64</v>
      </c>
    </row>
    <row r="24">
      <c r="A24" s="3" t="s">
        <v>5473</v>
      </c>
      <c r="B24" s="3" t="s">
        <v>99</v>
      </c>
      <c r="C24" s="3" t="s">
        <v>5476</v>
      </c>
      <c r="D24" s="3" t="s">
        <v>5478</v>
      </c>
      <c r="E24" s="3" t="s">
        <v>5480</v>
      </c>
      <c r="F24" s="3" t="s">
        <v>5483</v>
      </c>
      <c r="G24" s="3" t="s">
        <v>5485</v>
      </c>
      <c r="H24" s="3" t="s">
        <v>562</v>
      </c>
      <c r="I24" s="3" t="s">
        <v>5488</v>
      </c>
      <c r="J24" s="3" t="s">
        <v>5491</v>
      </c>
      <c r="K24" s="3" t="s">
        <v>1422</v>
      </c>
      <c r="L24" s="3" t="s">
        <v>59</v>
      </c>
      <c r="M24" s="3" t="s">
        <v>5496</v>
      </c>
      <c r="N24" s="3" t="s">
        <v>5499</v>
      </c>
      <c r="O24" s="3" t="s">
        <v>5501</v>
      </c>
      <c r="P24" s="3" t="s">
        <v>5504</v>
      </c>
      <c r="Q24" s="40" t="s">
        <v>1010</v>
      </c>
      <c r="R24" s="43" t="s">
        <v>64</v>
      </c>
    </row>
    <row r="25">
      <c r="A25" s="3" t="s">
        <v>5509</v>
      </c>
      <c r="B25" s="3" t="s">
        <v>5083</v>
      </c>
      <c r="C25" s="3" t="s">
        <v>5476</v>
      </c>
      <c r="D25" s="3" t="s">
        <v>5513</v>
      </c>
      <c r="E25" s="3" t="s">
        <v>5515</v>
      </c>
      <c r="F25" s="3" t="s">
        <v>5518</v>
      </c>
      <c r="G25" s="3" t="s">
        <v>5520</v>
      </c>
      <c r="H25" s="3" t="s">
        <v>5522</v>
      </c>
      <c r="I25" s="3" t="s">
        <v>5524</v>
      </c>
      <c r="J25" s="3" t="s">
        <v>5527</v>
      </c>
      <c r="K25" s="3" t="s">
        <v>1422</v>
      </c>
      <c r="L25" s="3" t="s">
        <v>59</v>
      </c>
      <c r="M25" s="3" t="s">
        <v>5532</v>
      </c>
      <c r="N25" s="3" t="s">
        <v>5535</v>
      </c>
      <c r="O25" s="3" t="s">
        <v>5538</v>
      </c>
      <c r="P25" s="3" t="s">
        <v>4981</v>
      </c>
      <c r="Q25" s="40" t="s">
        <v>1010</v>
      </c>
      <c r="R25" s="43" t="s">
        <v>64</v>
      </c>
    </row>
    <row r="26">
      <c r="A26" s="3" t="s">
        <v>5549</v>
      </c>
      <c r="B26" s="3" t="s">
        <v>5083</v>
      </c>
      <c r="C26" s="3" t="s">
        <v>5476</v>
      </c>
      <c r="D26" s="3" t="s">
        <v>5555</v>
      </c>
      <c r="E26" s="3" t="s">
        <v>5557</v>
      </c>
      <c r="F26" s="3" t="s">
        <v>5559</v>
      </c>
      <c r="G26" s="3" t="s">
        <v>5520</v>
      </c>
      <c r="H26" s="3" t="s">
        <v>5560</v>
      </c>
      <c r="I26" s="3" t="s">
        <v>5083</v>
      </c>
      <c r="J26" s="3" t="s">
        <v>5561</v>
      </c>
      <c r="K26" s="3" t="s">
        <v>1422</v>
      </c>
      <c r="L26" s="3" t="s">
        <v>59</v>
      </c>
      <c r="M26" s="3" t="s">
        <v>5564</v>
      </c>
      <c r="N26" s="3" t="s">
        <v>5566</v>
      </c>
      <c r="O26" s="3" t="s">
        <v>5567</v>
      </c>
      <c r="P26" s="3" t="s">
        <v>5569</v>
      </c>
      <c r="Q26" s="40" t="s">
        <v>698</v>
      </c>
      <c r="R26" s="43" t="s">
        <v>64</v>
      </c>
    </row>
    <row r="27">
      <c r="A27" s="3" t="s">
        <v>5572</v>
      </c>
      <c r="B27" s="3" t="s">
        <v>5574</v>
      </c>
      <c r="C27" s="3" t="s">
        <v>5476</v>
      </c>
      <c r="D27" s="3" t="s">
        <v>5576</v>
      </c>
      <c r="E27" s="3" t="s">
        <v>5578</v>
      </c>
      <c r="F27" s="3" t="s">
        <v>5579</v>
      </c>
      <c r="G27" s="3" t="s">
        <v>5580</v>
      </c>
      <c r="H27" s="3" t="s">
        <v>5581</v>
      </c>
      <c r="I27" s="3" t="s">
        <v>5582</v>
      </c>
      <c r="J27" s="3" t="s">
        <v>5583</v>
      </c>
      <c r="K27" s="3" t="s">
        <v>5283</v>
      </c>
      <c r="L27" s="3" t="s">
        <v>59</v>
      </c>
      <c r="M27" s="3" t="s">
        <v>5586</v>
      </c>
      <c r="N27" s="3" t="s">
        <v>5588</v>
      </c>
      <c r="O27" s="3" t="s">
        <v>5589</v>
      </c>
      <c r="P27" s="3" t="s">
        <v>4617</v>
      </c>
      <c r="Q27" s="40" t="s">
        <v>987</v>
      </c>
      <c r="R27" s="43" t="s">
        <v>64</v>
      </c>
    </row>
    <row r="28">
      <c r="A28" s="3" t="s">
        <v>5593</v>
      </c>
      <c r="B28" s="3" t="s">
        <v>5412</v>
      </c>
      <c r="C28" s="3" t="s">
        <v>116</v>
      </c>
      <c r="D28" s="3" t="s">
        <v>5597</v>
      </c>
      <c r="E28" s="3" t="s">
        <v>5598</v>
      </c>
      <c r="F28" s="3" t="s">
        <v>5599</v>
      </c>
      <c r="G28" s="3" t="s">
        <v>5420</v>
      </c>
      <c r="H28" s="3" t="s">
        <v>2365</v>
      </c>
      <c r="I28" s="3" t="s">
        <v>5423</v>
      </c>
      <c r="J28" s="3" t="s">
        <v>5603</v>
      </c>
      <c r="K28" s="3" t="s">
        <v>5283</v>
      </c>
      <c r="L28" s="3" t="s">
        <v>196</v>
      </c>
      <c r="M28" s="3" t="s">
        <v>5609</v>
      </c>
      <c r="N28" s="3" t="s">
        <v>5613</v>
      </c>
      <c r="O28" s="3" t="s">
        <v>5615</v>
      </c>
      <c r="P28" s="3" t="s">
        <v>4617</v>
      </c>
      <c r="Q28" s="40" t="s">
        <v>987</v>
      </c>
      <c r="R28" s="43" t="s">
        <v>64</v>
      </c>
    </row>
    <row r="29">
      <c r="A29" s="3" t="s">
        <v>5623</v>
      </c>
      <c r="B29" s="3" t="s">
        <v>5083</v>
      </c>
      <c r="C29" s="3" t="s">
        <v>5626</v>
      </c>
      <c r="D29" s="3" t="s">
        <v>5628</v>
      </c>
      <c r="E29" s="3" t="s">
        <v>5629</v>
      </c>
      <c r="F29" s="3" t="s">
        <v>5631</v>
      </c>
      <c r="G29" s="3" t="s">
        <v>5633</v>
      </c>
      <c r="H29" s="3" t="s">
        <v>562</v>
      </c>
      <c r="I29" s="3" t="s">
        <v>5636</v>
      </c>
      <c r="J29" s="3" t="s">
        <v>5637</v>
      </c>
      <c r="K29" s="3" t="s">
        <v>1422</v>
      </c>
      <c r="L29" s="3" t="s">
        <v>59</v>
      </c>
      <c r="M29" s="3" t="s">
        <v>5640</v>
      </c>
      <c r="N29" s="3" t="s">
        <v>5642</v>
      </c>
      <c r="O29" s="3" t="s">
        <v>5643</v>
      </c>
      <c r="P29" s="3" t="s">
        <v>5504</v>
      </c>
      <c r="Q29" s="40" t="s">
        <v>1010</v>
      </c>
      <c r="R29" s="43" t="s">
        <v>64</v>
      </c>
    </row>
    <row r="30">
      <c r="A30" s="3" t="s">
        <v>5646</v>
      </c>
      <c r="B30" s="3" t="s">
        <v>127</v>
      </c>
      <c r="C30" s="3" t="s">
        <v>5626</v>
      </c>
      <c r="D30" s="3" t="s">
        <v>5648</v>
      </c>
      <c r="E30" s="3" t="s">
        <v>5649</v>
      </c>
      <c r="F30" s="3" t="s">
        <v>5651</v>
      </c>
      <c r="G30" s="3" t="s">
        <v>5653</v>
      </c>
      <c r="H30" s="3" t="s">
        <v>562</v>
      </c>
      <c r="I30" s="3" t="s">
        <v>5655</v>
      </c>
      <c r="J30" s="3" t="s">
        <v>5656</v>
      </c>
      <c r="K30" s="3" t="s">
        <v>1422</v>
      </c>
      <c r="L30" s="3" t="s">
        <v>59</v>
      </c>
      <c r="M30" s="3" t="s">
        <v>5659</v>
      </c>
      <c r="N30" s="3" t="s">
        <v>5660</v>
      </c>
      <c r="O30" s="3" t="s">
        <v>5662</v>
      </c>
      <c r="P30" s="3" t="s">
        <v>5663</v>
      </c>
      <c r="Q30" s="40" t="s">
        <v>987</v>
      </c>
      <c r="R30" s="43" t="s">
        <v>64</v>
      </c>
    </row>
    <row r="31">
      <c r="A31" s="3" t="s">
        <v>5665</v>
      </c>
      <c r="B31" s="3" t="s">
        <v>99</v>
      </c>
      <c r="C31" s="3" t="s">
        <v>4860</v>
      </c>
      <c r="D31" s="3" t="s">
        <v>5669</v>
      </c>
      <c r="E31" s="3" t="s">
        <v>5672</v>
      </c>
      <c r="F31" s="3" t="s">
        <v>5673</v>
      </c>
      <c r="G31" s="3" t="s">
        <v>4915</v>
      </c>
      <c r="H31" s="3" t="s">
        <v>562</v>
      </c>
      <c r="I31" s="3" t="s">
        <v>5097</v>
      </c>
      <c r="J31" s="3" t="s">
        <v>5680</v>
      </c>
      <c r="K31" s="3" t="s">
        <v>1422</v>
      </c>
      <c r="L31" s="3" t="s">
        <v>59</v>
      </c>
      <c r="M31" s="3" t="s">
        <v>5685</v>
      </c>
      <c r="N31" s="3" t="s">
        <v>5705</v>
      </c>
      <c r="O31" s="3" t="s">
        <v>5713</v>
      </c>
      <c r="P31" s="3" t="s">
        <v>4892</v>
      </c>
      <c r="Q31" s="40" t="s">
        <v>698</v>
      </c>
      <c r="R31" s="43" t="s">
        <v>64</v>
      </c>
    </row>
    <row r="32">
      <c r="A32" s="3" t="s">
        <v>5727</v>
      </c>
      <c r="B32" s="3" t="s">
        <v>5731</v>
      </c>
      <c r="C32" s="3" t="s">
        <v>5734</v>
      </c>
      <c r="D32" s="3" t="s">
        <v>5737</v>
      </c>
      <c r="E32" s="3" t="s">
        <v>5740</v>
      </c>
      <c r="F32" s="3" t="s">
        <v>5744</v>
      </c>
      <c r="G32" s="3" t="s">
        <v>5747</v>
      </c>
      <c r="H32" s="3" t="s">
        <v>562</v>
      </c>
      <c r="I32" s="3" t="s">
        <v>5749</v>
      </c>
      <c r="J32" s="3" t="s">
        <v>5750</v>
      </c>
      <c r="K32" s="3" t="s">
        <v>1422</v>
      </c>
      <c r="L32" s="3" t="s">
        <v>59</v>
      </c>
      <c r="M32" s="3" t="s">
        <v>5751</v>
      </c>
      <c r="N32" s="3" t="s">
        <v>5752</v>
      </c>
      <c r="O32" s="3" t="s">
        <v>5753</v>
      </c>
      <c r="P32" s="3" t="s">
        <v>5504</v>
      </c>
      <c r="Q32" s="40" t="s">
        <v>1010</v>
      </c>
      <c r="R32" s="43" t="s">
        <v>64</v>
      </c>
    </row>
    <row r="33">
      <c r="A33" s="3" t="s">
        <v>5754</v>
      </c>
      <c r="B33" s="3" t="s">
        <v>5731</v>
      </c>
      <c r="C33" s="3" t="s">
        <v>5734</v>
      </c>
      <c r="D33" s="3" t="s">
        <v>5756</v>
      </c>
      <c r="E33" s="3" t="s">
        <v>5757</v>
      </c>
      <c r="F33" s="3" t="s">
        <v>5760</v>
      </c>
      <c r="G33" s="3" t="s">
        <v>5762</v>
      </c>
      <c r="H33" s="3" t="s">
        <v>562</v>
      </c>
      <c r="I33" s="3" t="s">
        <v>5765</v>
      </c>
      <c r="J33" s="3" t="s">
        <v>5767</v>
      </c>
      <c r="K33" s="3" t="s">
        <v>1422</v>
      </c>
      <c r="L33" s="3" t="s">
        <v>196</v>
      </c>
      <c r="M33" s="3" t="s">
        <v>5776</v>
      </c>
      <c r="N33" s="3" t="s">
        <v>5779</v>
      </c>
      <c r="O33" s="3" t="s">
        <v>5782</v>
      </c>
      <c r="P33" s="3" t="s">
        <v>4981</v>
      </c>
      <c r="Q33" s="40" t="s">
        <v>1010</v>
      </c>
      <c r="R33" s="43" t="s">
        <v>64</v>
      </c>
    </row>
    <row r="34">
      <c r="A34" s="3" t="s">
        <v>5796</v>
      </c>
      <c r="B34" s="3" t="s">
        <v>5799</v>
      </c>
      <c r="C34" s="3" t="s">
        <v>5734</v>
      </c>
      <c r="D34" s="3" t="s">
        <v>5804</v>
      </c>
      <c r="E34" s="3" t="s">
        <v>5807</v>
      </c>
      <c r="F34" s="3" t="s">
        <v>5813</v>
      </c>
      <c r="G34" s="3" t="s">
        <v>5817</v>
      </c>
      <c r="H34" s="3" t="s">
        <v>562</v>
      </c>
      <c r="I34" s="3" t="s">
        <v>5822</v>
      </c>
      <c r="J34" s="3" t="s">
        <v>5826</v>
      </c>
      <c r="K34" s="3" t="s">
        <v>1422</v>
      </c>
      <c r="L34" s="3" t="s">
        <v>59</v>
      </c>
      <c r="M34" s="3" t="s">
        <v>5831</v>
      </c>
      <c r="N34" s="3" t="s">
        <v>5834</v>
      </c>
      <c r="O34" s="3" t="s">
        <v>5838</v>
      </c>
      <c r="P34" s="3" t="s">
        <v>5842</v>
      </c>
      <c r="Q34" s="40" t="s">
        <v>1010</v>
      </c>
      <c r="R34" s="43" t="s">
        <v>64</v>
      </c>
    </row>
    <row r="35">
      <c r="A35" s="3" t="s">
        <v>5850</v>
      </c>
      <c r="B35" s="3" t="s">
        <v>99</v>
      </c>
      <c r="C35" s="3" t="s">
        <v>5854</v>
      </c>
      <c r="D35" s="3" t="s">
        <v>5862</v>
      </c>
      <c r="E35" s="3" t="s">
        <v>5864</v>
      </c>
      <c r="F35" s="3" t="s">
        <v>5868</v>
      </c>
      <c r="G35" s="3" t="s">
        <v>5869</v>
      </c>
      <c r="H35" s="3" t="s">
        <v>5871</v>
      </c>
      <c r="I35" s="3" t="s">
        <v>5875</v>
      </c>
      <c r="J35" s="3" t="s">
        <v>5880</v>
      </c>
      <c r="K35" s="3" t="s">
        <v>5283</v>
      </c>
      <c r="L35" s="3" t="s">
        <v>196</v>
      </c>
      <c r="M35" s="3" t="s">
        <v>5887</v>
      </c>
      <c r="N35" s="3" t="s">
        <v>5893</v>
      </c>
      <c r="O35" s="3" t="s">
        <v>5895</v>
      </c>
      <c r="P35" s="3" t="s">
        <v>4438</v>
      </c>
      <c r="Q35" s="40" t="s">
        <v>4439</v>
      </c>
      <c r="R35" s="43" t="s">
        <v>64</v>
      </c>
    </row>
    <row r="36">
      <c r="A36" s="3" t="s">
        <v>5909</v>
      </c>
      <c r="B36" s="3" t="s">
        <v>5913</v>
      </c>
      <c r="C36" s="3" t="s">
        <v>5854</v>
      </c>
      <c r="D36" s="3" t="s">
        <v>5917</v>
      </c>
      <c r="E36" s="3" t="s">
        <v>5920</v>
      </c>
      <c r="F36" s="3" t="s">
        <v>5923</v>
      </c>
      <c r="G36" s="3" t="s">
        <v>3627</v>
      </c>
      <c r="H36" s="3" t="s">
        <v>5926</v>
      </c>
      <c r="I36" s="3" t="s">
        <v>2707</v>
      </c>
      <c r="J36" s="3" t="s">
        <v>1058</v>
      </c>
      <c r="K36" s="3" t="s">
        <v>187</v>
      </c>
      <c r="L36" s="3" t="s">
        <v>137</v>
      </c>
      <c r="M36" s="3" t="s">
        <v>5936</v>
      </c>
      <c r="N36" s="3" t="s">
        <v>5938</v>
      </c>
      <c r="O36" s="3" t="s">
        <v>5941</v>
      </c>
      <c r="P36" s="3" t="s">
        <v>4981</v>
      </c>
      <c r="Q36" s="40" t="s">
        <v>1010</v>
      </c>
      <c r="R36" s="43" t="s">
        <v>64</v>
      </c>
    </row>
    <row r="37">
      <c r="A37" s="3" t="s">
        <v>5949</v>
      </c>
      <c r="B37" s="3" t="s">
        <v>5951</v>
      </c>
      <c r="C37" s="3" t="s">
        <v>5953</v>
      </c>
      <c r="D37" s="3" t="s">
        <v>5955</v>
      </c>
      <c r="E37" s="3" t="s">
        <v>5958</v>
      </c>
      <c r="F37" s="3" t="s">
        <v>5960</v>
      </c>
      <c r="G37" s="3" t="s">
        <v>5962</v>
      </c>
      <c r="H37" s="3" t="s">
        <v>5964</v>
      </c>
      <c r="I37" s="3" t="s">
        <v>5966</v>
      </c>
      <c r="J37" s="3" t="s">
        <v>5968</v>
      </c>
      <c r="K37" s="3" t="s">
        <v>5283</v>
      </c>
      <c r="L37" s="3" t="s">
        <v>59</v>
      </c>
      <c r="M37" s="3" t="s">
        <v>5974</v>
      </c>
      <c r="N37" s="3" t="s">
        <v>5977</v>
      </c>
      <c r="O37" s="3" t="s">
        <v>5981</v>
      </c>
      <c r="P37" s="3" t="s">
        <v>5983</v>
      </c>
      <c r="Q37" s="40" t="s">
        <v>987</v>
      </c>
      <c r="R37" s="43" t="s">
        <v>64</v>
      </c>
    </row>
    <row r="38">
      <c r="A38" s="3" t="s">
        <v>5992</v>
      </c>
      <c r="B38" s="3" t="s">
        <v>5995</v>
      </c>
      <c r="C38" s="3" t="s">
        <v>5953</v>
      </c>
      <c r="D38" s="3" t="s">
        <v>6000</v>
      </c>
      <c r="E38" s="3" t="s">
        <v>6003</v>
      </c>
      <c r="F38" s="3" t="s">
        <v>6005</v>
      </c>
      <c r="G38" s="3" t="s">
        <v>6008</v>
      </c>
      <c r="H38" s="3" t="s">
        <v>6011</v>
      </c>
      <c r="I38" s="3" t="s">
        <v>6013</v>
      </c>
      <c r="J38" s="3" t="s">
        <v>6014</v>
      </c>
      <c r="K38" s="3" t="s">
        <v>5283</v>
      </c>
      <c r="L38" s="3" t="s">
        <v>196</v>
      </c>
      <c r="M38" s="3" t="s">
        <v>6018</v>
      </c>
      <c r="N38" s="3" t="s">
        <v>6019</v>
      </c>
      <c r="O38" s="3" t="s">
        <v>6021</v>
      </c>
      <c r="P38" s="3" t="s">
        <v>6026</v>
      </c>
      <c r="Q38" s="40" t="s">
        <v>987</v>
      </c>
      <c r="R38" s="43" t="s">
        <v>64</v>
      </c>
    </row>
    <row r="39">
      <c r="A39" s="3" t="s">
        <v>6033</v>
      </c>
      <c r="B39" s="3" t="s">
        <v>5995</v>
      </c>
      <c r="C39" s="3" t="s">
        <v>5953</v>
      </c>
      <c r="D39" s="3" t="s">
        <v>6038</v>
      </c>
      <c r="E39" s="3" t="s">
        <v>6040</v>
      </c>
      <c r="F39" s="3" t="s">
        <v>6042</v>
      </c>
      <c r="G39" s="3" t="s">
        <v>6046</v>
      </c>
      <c r="H39" s="3" t="s">
        <v>6047</v>
      </c>
      <c r="I39" s="3" t="s">
        <v>6050</v>
      </c>
      <c r="J39" s="3" t="s">
        <v>5221</v>
      </c>
      <c r="K39" s="3" t="s">
        <v>5283</v>
      </c>
      <c r="L39" s="3" t="s">
        <v>59</v>
      </c>
      <c r="M39" s="3" t="s">
        <v>6057</v>
      </c>
      <c r="N39" s="3" t="s">
        <v>6059</v>
      </c>
      <c r="O39" s="3" t="s">
        <v>6061</v>
      </c>
      <c r="P39" s="3" t="s">
        <v>5983</v>
      </c>
      <c r="Q39" s="40" t="s">
        <v>4439</v>
      </c>
      <c r="R39" s="43" t="s">
        <v>64</v>
      </c>
    </row>
    <row r="40">
      <c r="A40" s="3" t="s">
        <v>6068</v>
      </c>
      <c r="B40" s="3" t="s">
        <v>5995</v>
      </c>
      <c r="C40" s="3" t="s">
        <v>6072</v>
      </c>
      <c r="D40" s="3" t="s">
        <v>6076</v>
      </c>
      <c r="E40" s="3" t="s">
        <v>6078</v>
      </c>
      <c r="F40" s="3" t="s">
        <v>6082</v>
      </c>
      <c r="G40" s="3" t="s">
        <v>6086</v>
      </c>
      <c r="H40" s="3" t="s">
        <v>6088</v>
      </c>
      <c r="I40" s="3" t="s">
        <v>6092</v>
      </c>
      <c r="J40" s="3" t="s">
        <v>6093</v>
      </c>
      <c r="K40" s="3" t="s">
        <v>5283</v>
      </c>
      <c r="L40" s="3" t="s">
        <v>196</v>
      </c>
      <c r="M40" s="3" t="s">
        <v>6100</v>
      </c>
      <c r="N40" s="3" t="s">
        <v>6104</v>
      </c>
      <c r="O40" s="3" t="s">
        <v>6109</v>
      </c>
      <c r="P40" s="3" t="s">
        <v>5983</v>
      </c>
      <c r="Q40" s="40" t="s">
        <v>987</v>
      </c>
      <c r="R40" s="43" t="s">
        <v>64</v>
      </c>
    </row>
    <row r="41">
      <c r="A41" s="3" t="s">
        <v>6120</v>
      </c>
      <c r="B41" s="3" t="s">
        <v>6121</v>
      </c>
      <c r="C41" s="3" t="s">
        <v>6072</v>
      </c>
      <c r="D41" s="3" t="s">
        <v>6125</v>
      </c>
      <c r="E41" s="3" t="s">
        <v>6128</v>
      </c>
      <c r="F41" s="3" t="s">
        <v>6130</v>
      </c>
      <c r="G41" s="3" t="s">
        <v>6132</v>
      </c>
      <c r="H41" s="3" t="s">
        <v>6134</v>
      </c>
      <c r="I41" s="3" t="s">
        <v>6137</v>
      </c>
      <c r="J41" s="3" t="s">
        <v>6141</v>
      </c>
      <c r="K41" s="3" t="s">
        <v>5283</v>
      </c>
      <c r="L41" s="3" t="s">
        <v>59</v>
      </c>
      <c r="M41" s="3" t="s">
        <v>6148</v>
      </c>
      <c r="N41" s="3" t="s">
        <v>6152</v>
      </c>
      <c r="O41" s="3" t="s">
        <v>6153</v>
      </c>
      <c r="P41" s="3" t="s">
        <v>4617</v>
      </c>
      <c r="Q41" s="40" t="s">
        <v>987</v>
      </c>
      <c r="R41" s="43" t="s">
        <v>64</v>
      </c>
    </row>
    <row r="42">
      <c r="A42" s="3" t="s">
        <v>6164</v>
      </c>
      <c r="B42" s="3" t="s">
        <v>6168</v>
      </c>
      <c r="C42" s="3" t="s">
        <v>6171</v>
      </c>
      <c r="D42" s="3" t="s">
        <v>6175</v>
      </c>
      <c r="E42" s="3" t="s">
        <v>6178</v>
      </c>
      <c r="F42" s="3" t="s">
        <v>6182</v>
      </c>
      <c r="G42" s="3" t="s">
        <v>5420</v>
      </c>
      <c r="H42" s="3" t="s">
        <v>6187</v>
      </c>
      <c r="I42" s="3" t="s">
        <v>6189</v>
      </c>
      <c r="J42" s="3" t="s">
        <v>6191</v>
      </c>
      <c r="K42" s="3" t="s">
        <v>5283</v>
      </c>
      <c r="L42" s="3" t="s">
        <v>196</v>
      </c>
      <c r="M42" s="3" t="s">
        <v>6194</v>
      </c>
      <c r="N42" s="3" t="s">
        <v>6195</v>
      </c>
      <c r="O42" s="3" t="s">
        <v>6198</v>
      </c>
      <c r="P42" s="3" t="s">
        <v>6200</v>
      </c>
      <c r="Q42" s="40" t="s">
        <v>987</v>
      </c>
      <c r="R42" s="43" t="s">
        <v>64</v>
      </c>
    </row>
    <row r="43">
      <c r="A43" s="3" t="s">
        <v>6205</v>
      </c>
      <c r="B43" s="3" t="s">
        <v>6208</v>
      </c>
      <c r="C43" s="3" t="s">
        <v>6211</v>
      </c>
      <c r="D43" s="3" t="s">
        <v>6213</v>
      </c>
      <c r="E43" s="3" t="s">
        <v>6215</v>
      </c>
      <c r="F43" s="3" t="s">
        <v>6216</v>
      </c>
      <c r="G43" s="3" t="s">
        <v>6219</v>
      </c>
      <c r="H43" s="3" t="s">
        <v>6221</v>
      </c>
      <c r="I43" s="3" t="s">
        <v>6223</v>
      </c>
      <c r="J43" s="3" t="s">
        <v>6224</v>
      </c>
      <c r="K43" s="3" t="s">
        <v>5283</v>
      </c>
      <c r="L43" s="3" t="s">
        <v>137</v>
      </c>
      <c r="M43" s="3" t="s">
        <v>6226</v>
      </c>
      <c r="N43" s="3" t="s">
        <v>6227</v>
      </c>
      <c r="O43" s="3" t="s">
        <v>6229</v>
      </c>
      <c r="P43" s="3" t="s">
        <v>6231</v>
      </c>
      <c r="Q43" s="40" t="s">
        <v>4439</v>
      </c>
      <c r="R43" s="43" t="s">
        <v>64</v>
      </c>
    </row>
  </sheetData>
  <autoFilter ref="$A$1:$R$43"/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</hyperlinks>
  <drawing r:id="rId4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20.75"/>
  </cols>
  <sheetData>
    <row r="1">
      <c r="A1" s="44" t="s">
        <v>1101</v>
      </c>
      <c r="B1" s="44" t="s">
        <v>1105</v>
      </c>
      <c r="C1" s="44" t="s">
        <v>1108</v>
      </c>
      <c r="D1" s="44" t="s">
        <v>207</v>
      </c>
      <c r="E1" s="44" t="s">
        <v>1110</v>
      </c>
      <c r="F1" s="44" t="s">
        <v>1112</v>
      </c>
      <c r="G1" s="44" t="s">
        <v>1113</v>
      </c>
      <c r="H1" s="44" t="s">
        <v>1114</v>
      </c>
      <c r="I1" s="44" t="s">
        <v>1116</v>
      </c>
      <c r="J1" s="44" t="s">
        <v>1117</v>
      </c>
      <c r="K1" s="44" t="s">
        <v>1118</v>
      </c>
      <c r="L1" s="44" t="s">
        <v>1120</v>
      </c>
      <c r="M1" s="44" t="s">
        <v>1121</v>
      </c>
    </row>
    <row r="2">
      <c r="A2" s="3" t="s">
        <v>4654</v>
      </c>
      <c r="B2" s="3" t="s">
        <v>4656</v>
      </c>
      <c r="C2" s="3" t="s">
        <v>1126</v>
      </c>
      <c r="D2" s="3" t="s">
        <v>4660</v>
      </c>
      <c r="E2" s="3" t="s">
        <v>4662</v>
      </c>
      <c r="F2" s="3" t="s">
        <v>1130</v>
      </c>
      <c r="G2" s="3" t="s">
        <v>1130</v>
      </c>
      <c r="H2" s="3" t="s">
        <v>1132</v>
      </c>
      <c r="I2" s="3" t="s">
        <v>4670</v>
      </c>
      <c r="J2" s="3" t="s">
        <v>4671</v>
      </c>
      <c r="K2" s="3" t="s">
        <v>4673</v>
      </c>
      <c r="L2" s="3" t="s">
        <v>4674</v>
      </c>
      <c r="M2" s="43" t="s">
        <v>1137</v>
      </c>
    </row>
    <row r="3">
      <c r="A3" s="3" t="s">
        <v>4677</v>
      </c>
      <c r="B3" s="3" t="s">
        <v>4679</v>
      </c>
      <c r="C3" s="3" t="s">
        <v>4680</v>
      </c>
      <c r="D3" s="3" t="s">
        <v>4682</v>
      </c>
      <c r="E3" s="3" t="s">
        <v>4683</v>
      </c>
      <c r="F3" s="3" t="s">
        <v>4684</v>
      </c>
      <c r="G3" s="3" t="s">
        <v>4685</v>
      </c>
      <c r="H3" s="3" t="s">
        <v>1146</v>
      </c>
      <c r="I3" s="3" t="s">
        <v>4686</v>
      </c>
      <c r="J3" s="3" t="s">
        <v>4687</v>
      </c>
      <c r="K3" s="3" t="s">
        <v>4688</v>
      </c>
      <c r="L3" s="3" t="s">
        <v>4689</v>
      </c>
      <c r="M3" s="43" t="s">
        <v>1137</v>
      </c>
    </row>
    <row r="4">
      <c r="A4" s="3" t="s">
        <v>4690</v>
      </c>
      <c r="B4" s="3" t="s">
        <v>4691</v>
      </c>
      <c r="C4" s="3" t="s">
        <v>4692</v>
      </c>
      <c r="D4" s="3" t="s">
        <v>4693</v>
      </c>
      <c r="E4" s="3" t="s">
        <v>4694</v>
      </c>
      <c r="F4" s="3" t="s">
        <v>4695</v>
      </c>
      <c r="G4" s="3" t="s">
        <v>4696</v>
      </c>
      <c r="H4" s="3" t="s">
        <v>1146</v>
      </c>
      <c r="I4" s="3" t="s">
        <v>4697</v>
      </c>
      <c r="J4" s="3" t="s">
        <v>4698</v>
      </c>
      <c r="K4" s="3" t="s">
        <v>4699</v>
      </c>
      <c r="L4" s="3" t="s">
        <v>4700</v>
      </c>
      <c r="M4" s="43" t="s">
        <v>1137</v>
      </c>
    </row>
    <row r="5">
      <c r="A5" s="3" t="s">
        <v>4701</v>
      </c>
      <c r="B5" s="3" t="s">
        <v>4702</v>
      </c>
      <c r="C5" s="3" t="s">
        <v>1126</v>
      </c>
      <c r="D5" s="3" t="s">
        <v>4703</v>
      </c>
      <c r="E5" s="3" t="s">
        <v>4704</v>
      </c>
      <c r="F5" s="3" t="s">
        <v>1130</v>
      </c>
      <c r="G5" s="3" t="s">
        <v>1130</v>
      </c>
      <c r="H5" s="3" t="s">
        <v>1289</v>
      </c>
      <c r="I5" s="3" t="s">
        <v>4705</v>
      </c>
      <c r="J5" s="3" t="s">
        <v>4706</v>
      </c>
      <c r="K5" s="3" t="s">
        <v>4707</v>
      </c>
      <c r="L5" s="3" t="s">
        <v>1293</v>
      </c>
      <c r="M5" s="43" t="s">
        <v>1137</v>
      </c>
    </row>
    <row r="6">
      <c r="A6" s="3" t="s">
        <v>4708</v>
      </c>
      <c r="B6" s="3" t="s">
        <v>4709</v>
      </c>
      <c r="C6" s="3" t="s">
        <v>4710</v>
      </c>
      <c r="D6" s="3" t="s">
        <v>4711</v>
      </c>
      <c r="E6" s="3" t="s">
        <v>4712</v>
      </c>
      <c r="F6" s="3" t="s">
        <v>4713</v>
      </c>
      <c r="G6" s="3" t="s">
        <v>4714</v>
      </c>
      <c r="H6" s="3" t="s">
        <v>1146</v>
      </c>
      <c r="I6" s="3" t="s">
        <v>4715</v>
      </c>
      <c r="J6" s="3" t="s">
        <v>4716</v>
      </c>
      <c r="K6" s="3" t="s">
        <v>4717</v>
      </c>
      <c r="L6" s="3" t="s">
        <v>4718</v>
      </c>
      <c r="M6" s="43" t="s">
        <v>1137</v>
      </c>
    </row>
    <row r="7">
      <c r="A7" s="3" t="s">
        <v>4720</v>
      </c>
      <c r="B7" s="3" t="s">
        <v>4721</v>
      </c>
      <c r="C7" s="3" t="s">
        <v>4710</v>
      </c>
      <c r="D7" s="3" t="s">
        <v>4724</v>
      </c>
      <c r="E7" s="3" t="s">
        <v>4726</v>
      </c>
      <c r="F7" s="3" t="s">
        <v>4728</v>
      </c>
      <c r="G7" s="3" t="s">
        <v>4729</v>
      </c>
      <c r="H7" s="3" t="s">
        <v>1146</v>
      </c>
      <c r="I7" s="3" t="s">
        <v>4715</v>
      </c>
      <c r="J7" s="3" t="s">
        <v>4730</v>
      </c>
      <c r="K7" s="3" t="s">
        <v>4731</v>
      </c>
      <c r="L7" s="3" t="s">
        <v>4733</v>
      </c>
      <c r="M7" s="43" t="s">
        <v>1137</v>
      </c>
    </row>
    <row r="8">
      <c r="A8" s="3" t="s">
        <v>4736</v>
      </c>
      <c r="B8" s="3" t="s">
        <v>4738</v>
      </c>
      <c r="C8" s="3" t="s">
        <v>4739</v>
      </c>
      <c r="D8" s="3" t="s">
        <v>4741</v>
      </c>
      <c r="E8" s="3" t="s">
        <v>4742</v>
      </c>
      <c r="F8" s="3" t="s">
        <v>4743</v>
      </c>
      <c r="G8" s="3" t="s">
        <v>4744</v>
      </c>
      <c r="H8" s="3" t="s">
        <v>1146</v>
      </c>
      <c r="I8" s="3" t="s">
        <v>4745</v>
      </c>
      <c r="J8" s="3" t="s">
        <v>4746</v>
      </c>
      <c r="K8" s="3" t="s">
        <v>4747</v>
      </c>
      <c r="L8" s="3" t="s">
        <v>3156</v>
      </c>
      <c r="M8" s="43" t="s">
        <v>1137</v>
      </c>
    </row>
    <row r="9">
      <c r="A9" s="3" t="s">
        <v>4748</v>
      </c>
      <c r="B9" s="3" t="s">
        <v>4749</v>
      </c>
      <c r="C9" s="3" t="s">
        <v>4750</v>
      </c>
      <c r="D9" s="3" t="s">
        <v>4751</v>
      </c>
      <c r="E9" s="3" t="s">
        <v>4752</v>
      </c>
      <c r="F9" s="3" t="s">
        <v>4753</v>
      </c>
      <c r="G9" s="3" t="s">
        <v>4754</v>
      </c>
      <c r="H9" s="3" t="s">
        <v>1146</v>
      </c>
      <c r="I9" s="3" t="s">
        <v>4755</v>
      </c>
      <c r="J9" s="3" t="s">
        <v>4756</v>
      </c>
      <c r="K9" s="3" t="s">
        <v>4757</v>
      </c>
      <c r="L9" s="3" t="s">
        <v>3156</v>
      </c>
      <c r="M9" s="43" t="s">
        <v>1137</v>
      </c>
    </row>
    <row r="10">
      <c r="A10" s="3" t="s">
        <v>4758</v>
      </c>
      <c r="B10" s="3" t="s">
        <v>4759</v>
      </c>
      <c r="C10" s="3" t="s">
        <v>4760</v>
      </c>
      <c r="D10" s="3" t="s">
        <v>4761</v>
      </c>
      <c r="E10" s="3" t="s">
        <v>4762</v>
      </c>
      <c r="F10" s="3" t="s">
        <v>4763</v>
      </c>
      <c r="G10" s="3" t="s">
        <v>4764</v>
      </c>
      <c r="H10" s="3" t="s">
        <v>1146</v>
      </c>
      <c r="I10" s="3" t="s">
        <v>4765</v>
      </c>
      <c r="J10" s="3" t="s">
        <v>4766</v>
      </c>
      <c r="K10" s="3" t="s">
        <v>4767</v>
      </c>
      <c r="L10" s="3" t="s">
        <v>4768</v>
      </c>
      <c r="M10" s="43" t="s">
        <v>1137</v>
      </c>
    </row>
    <row r="11">
      <c r="A11" s="3" t="s">
        <v>4769</v>
      </c>
      <c r="B11" s="3" t="s">
        <v>4770</v>
      </c>
      <c r="C11" s="3" t="s">
        <v>2644</v>
      </c>
      <c r="D11" s="3" t="s">
        <v>4771</v>
      </c>
      <c r="E11" s="3" t="s">
        <v>4772</v>
      </c>
      <c r="F11" s="3" t="s">
        <v>4773</v>
      </c>
      <c r="G11" s="3" t="s">
        <v>4774</v>
      </c>
      <c r="H11" s="3" t="s">
        <v>1146</v>
      </c>
      <c r="I11" s="3" t="s">
        <v>4775</v>
      </c>
      <c r="J11" s="3" t="s">
        <v>4776</v>
      </c>
      <c r="K11" s="3" t="s">
        <v>4777</v>
      </c>
      <c r="L11" s="3" t="s">
        <v>4778</v>
      </c>
      <c r="M11" s="43" t="s">
        <v>1137</v>
      </c>
    </row>
    <row r="12">
      <c r="A12" s="3" t="s">
        <v>4779</v>
      </c>
      <c r="B12" s="3" t="s">
        <v>4780</v>
      </c>
      <c r="C12" s="3" t="s">
        <v>460</v>
      </c>
      <c r="D12" s="3" t="s">
        <v>4781</v>
      </c>
      <c r="E12" s="3" t="s">
        <v>4782</v>
      </c>
      <c r="F12" s="3" t="s">
        <v>4783</v>
      </c>
      <c r="G12" s="3" t="s">
        <v>4784</v>
      </c>
      <c r="H12" s="3" t="s">
        <v>1146</v>
      </c>
      <c r="I12" s="3" t="s">
        <v>4785</v>
      </c>
      <c r="J12" s="3" t="s">
        <v>4786</v>
      </c>
      <c r="K12" s="3" t="s">
        <v>4787</v>
      </c>
      <c r="L12" s="3" t="s">
        <v>1341</v>
      </c>
      <c r="M12" s="43" t="s">
        <v>1137</v>
      </c>
    </row>
    <row r="13">
      <c r="A13" s="3" t="s">
        <v>4789</v>
      </c>
      <c r="B13" s="3" t="s">
        <v>4790</v>
      </c>
      <c r="C13" s="3" t="s">
        <v>1184</v>
      </c>
      <c r="D13" s="3" t="s">
        <v>4792</v>
      </c>
      <c r="E13" s="3" t="s">
        <v>4794</v>
      </c>
      <c r="F13" s="3" t="s">
        <v>4795</v>
      </c>
      <c r="G13" s="3" t="s">
        <v>4797</v>
      </c>
      <c r="H13" s="3" t="s">
        <v>1146</v>
      </c>
      <c r="I13" s="3" t="s">
        <v>4799</v>
      </c>
      <c r="J13" s="3" t="s">
        <v>4800</v>
      </c>
      <c r="K13" s="3" t="s">
        <v>4802</v>
      </c>
      <c r="L13" s="3" t="s">
        <v>4803</v>
      </c>
      <c r="M13" s="43" t="s">
        <v>1137</v>
      </c>
    </row>
    <row r="14">
      <c r="A14" s="3" t="s">
        <v>4804</v>
      </c>
      <c r="B14" s="3" t="s">
        <v>4806</v>
      </c>
      <c r="C14" s="3" t="s">
        <v>1535</v>
      </c>
      <c r="D14" s="3" t="s">
        <v>4809</v>
      </c>
      <c r="E14" s="3" t="s">
        <v>4811</v>
      </c>
      <c r="F14" s="3" t="s">
        <v>4812</v>
      </c>
      <c r="G14" s="3" t="s">
        <v>4813</v>
      </c>
      <c r="H14" s="3" t="s">
        <v>1146</v>
      </c>
      <c r="I14" s="3" t="s">
        <v>4814</v>
      </c>
      <c r="J14" s="3" t="s">
        <v>4815</v>
      </c>
      <c r="K14" s="3" t="s">
        <v>4816</v>
      </c>
      <c r="L14" s="3" t="s">
        <v>1341</v>
      </c>
      <c r="M14" s="43" t="s">
        <v>1137</v>
      </c>
    </row>
    <row r="15">
      <c r="A15" s="3" t="s">
        <v>4819</v>
      </c>
      <c r="B15" s="3" t="s">
        <v>4821</v>
      </c>
      <c r="C15" s="3" t="s">
        <v>4823</v>
      </c>
      <c r="D15" s="3" t="s">
        <v>4825</v>
      </c>
      <c r="E15" s="3" t="s">
        <v>4826</v>
      </c>
      <c r="F15" s="3" t="s">
        <v>4830</v>
      </c>
      <c r="G15" s="3" t="s">
        <v>4831</v>
      </c>
      <c r="H15" s="3" t="s">
        <v>1146</v>
      </c>
      <c r="I15" s="3" t="s">
        <v>4832</v>
      </c>
      <c r="J15" s="3" t="s">
        <v>4833</v>
      </c>
      <c r="K15" s="3" t="s">
        <v>4834</v>
      </c>
      <c r="L15" s="3" t="s">
        <v>4835</v>
      </c>
      <c r="M15" s="43" t="s">
        <v>1137</v>
      </c>
    </row>
    <row r="16">
      <c r="A16" s="3" t="s">
        <v>4836</v>
      </c>
      <c r="B16" s="3" t="s">
        <v>4837</v>
      </c>
      <c r="C16" s="3" t="s">
        <v>4838</v>
      </c>
      <c r="D16" s="3" t="s">
        <v>4839</v>
      </c>
      <c r="E16" s="3" t="s">
        <v>4840</v>
      </c>
      <c r="F16" s="3" t="s">
        <v>4841</v>
      </c>
      <c r="G16" s="3" t="s">
        <v>4842</v>
      </c>
      <c r="H16" s="3" t="s">
        <v>1146</v>
      </c>
      <c r="I16" s="3" t="s">
        <v>4843</v>
      </c>
      <c r="J16" s="3" t="s">
        <v>1282</v>
      </c>
      <c r="K16" s="3" t="s">
        <v>4844</v>
      </c>
      <c r="L16" s="3" t="s">
        <v>4845</v>
      </c>
      <c r="M16" s="43" t="s">
        <v>1137</v>
      </c>
    </row>
    <row r="17">
      <c r="A17" s="3" t="s">
        <v>4846</v>
      </c>
      <c r="B17" s="3" t="s">
        <v>4847</v>
      </c>
      <c r="C17" s="3" t="s">
        <v>374</v>
      </c>
      <c r="D17" s="3" t="s">
        <v>4848</v>
      </c>
      <c r="E17" s="3" t="s">
        <v>4849</v>
      </c>
      <c r="F17" s="3" t="s">
        <v>4850</v>
      </c>
      <c r="G17" s="3" t="s">
        <v>4851</v>
      </c>
      <c r="H17" s="3" t="s">
        <v>1146</v>
      </c>
      <c r="I17" s="3" t="s">
        <v>4852</v>
      </c>
      <c r="J17" s="3" t="s">
        <v>4854</v>
      </c>
      <c r="K17" s="3" t="s">
        <v>4855</v>
      </c>
      <c r="L17" s="3" t="s">
        <v>4857</v>
      </c>
      <c r="M17" s="43" t="s">
        <v>1137</v>
      </c>
    </row>
    <row r="18">
      <c r="A18" s="3" t="s">
        <v>4859</v>
      </c>
      <c r="B18" s="3" t="s">
        <v>4861</v>
      </c>
      <c r="C18" s="3" t="s">
        <v>1126</v>
      </c>
      <c r="D18" s="3" t="s">
        <v>4865</v>
      </c>
      <c r="E18" s="3" t="s">
        <v>4868</v>
      </c>
      <c r="F18" s="3" t="s">
        <v>1130</v>
      </c>
      <c r="G18" s="3" t="s">
        <v>1130</v>
      </c>
      <c r="H18" s="3" t="s">
        <v>1241</v>
      </c>
      <c r="I18" s="3" t="s">
        <v>4879</v>
      </c>
      <c r="J18" s="3" t="s">
        <v>4882</v>
      </c>
      <c r="K18" s="3" t="s">
        <v>4885</v>
      </c>
      <c r="L18" s="3" t="s">
        <v>1293</v>
      </c>
      <c r="M18" s="43" t="s">
        <v>1137</v>
      </c>
    </row>
    <row r="19">
      <c r="A19" s="3" t="s">
        <v>4893</v>
      </c>
      <c r="B19" s="3" t="s">
        <v>4896</v>
      </c>
      <c r="C19" s="3" t="s">
        <v>4897</v>
      </c>
      <c r="D19" s="3" t="s">
        <v>4899</v>
      </c>
      <c r="E19" s="3" t="s">
        <v>4901</v>
      </c>
      <c r="F19" s="3" t="s">
        <v>4904</v>
      </c>
      <c r="G19" s="3" t="s">
        <v>4906</v>
      </c>
      <c r="H19" s="3" t="s">
        <v>4907</v>
      </c>
      <c r="I19" s="3" t="s">
        <v>4910</v>
      </c>
      <c r="J19" s="3" t="s">
        <v>4912</v>
      </c>
      <c r="K19" s="3" t="s">
        <v>4916</v>
      </c>
      <c r="L19" s="3" t="s">
        <v>4918</v>
      </c>
      <c r="M19" s="43" t="s">
        <v>1137</v>
      </c>
    </row>
    <row r="20">
      <c r="A20" s="3" t="s">
        <v>4920</v>
      </c>
      <c r="B20" s="3" t="s">
        <v>4922</v>
      </c>
      <c r="C20" s="3" t="s">
        <v>4924</v>
      </c>
      <c r="D20" s="3" t="s">
        <v>4927</v>
      </c>
      <c r="E20" s="3" t="s">
        <v>4929</v>
      </c>
      <c r="F20" s="3" t="s">
        <v>4931</v>
      </c>
      <c r="G20" s="3" t="s">
        <v>4932</v>
      </c>
      <c r="H20" s="3" t="s">
        <v>1146</v>
      </c>
      <c r="I20" s="3" t="s">
        <v>4934</v>
      </c>
      <c r="J20" s="3" t="s">
        <v>4937</v>
      </c>
      <c r="K20" s="3" t="s">
        <v>4940</v>
      </c>
      <c r="L20" s="3" t="s">
        <v>4941</v>
      </c>
      <c r="M20" s="43" t="s">
        <v>1137</v>
      </c>
    </row>
    <row r="21">
      <c r="A21" s="3" t="s">
        <v>4943</v>
      </c>
      <c r="B21" s="3" t="s">
        <v>4945</v>
      </c>
      <c r="C21" s="3" t="s">
        <v>423</v>
      </c>
      <c r="D21" s="3" t="s">
        <v>4951</v>
      </c>
      <c r="E21" s="3" t="s">
        <v>4956</v>
      </c>
      <c r="F21" s="3" t="s">
        <v>4959</v>
      </c>
      <c r="G21" s="3" t="s">
        <v>4962</v>
      </c>
      <c r="H21" s="3" t="s">
        <v>1146</v>
      </c>
      <c r="I21" s="3" t="s">
        <v>4965</v>
      </c>
      <c r="J21" s="3" t="s">
        <v>4967</v>
      </c>
      <c r="K21" s="3" t="s">
        <v>4968</v>
      </c>
      <c r="L21" s="3" t="s">
        <v>3156</v>
      </c>
      <c r="M21" s="43" t="s">
        <v>1137</v>
      </c>
    </row>
    <row r="22">
      <c r="A22" s="3" t="s">
        <v>4973</v>
      </c>
      <c r="B22" s="3" t="s">
        <v>4977</v>
      </c>
      <c r="C22" s="3" t="s">
        <v>1412</v>
      </c>
      <c r="D22" s="3" t="s">
        <v>4980</v>
      </c>
      <c r="E22" s="3" t="s">
        <v>4982</v>
      </c>
      <c r="F22" s="3" t="s">
        <v>4983</v>
      </c>
      <c r="G22" s="3" t="s">
        <v>4985</v>
      </c>
      <c r="H22" s="3" t="s">
        <v>1146</v>
      </c>
      <c r="I22" s="3" t="s">
        <v>4988</v>
      </c>
      <c r="J22" s="3" t="s">
        <v>4990</v>
      </c>
      <c r="K22" s="3" t="s">
        <v>4992</v>
      </c>
      <c r="L22" s="3" t="s">
        <v>3156</v>
      </c>
      <c r="M22" s="43" t="s">
        <v>1137</v>
      </c>
    </row>
    <row r="23">
      <c r="A23" s="3" t="s">
        <v>5011</v>
      </c>
      <c r="B23" s="3" t="s">
        <v>5014</v>
      </c>
      <c r="C23" s="3" t="s">
        <v>5018</v>
      </c>
      <c r="D23" s="3" t="s">
        <v>5021</v>
      </c>
      <c r="E23" s="3" t="s">
        <v>5023</v>
      </c>
      <c r="F23" s="3" t="s">
        <v>5026</v>
      </c>
      <c r="G23" s="3" t="s">
        <v>5028</v>
      </c>
      <c r="H23" s="3" t="s">
        <v>1146</v>
      </c>
      <c r="I23" s="3" t="s">
        <v>5032</v>
      </c>
      <c r="J23" s="3" t="s">
        <v>5035</v>
      </c>
      <c r="K23" s="3" t="s">
        <v>5039</v>
      </c>
      <c r="L23" s="3" t="s">
        <v>1341</v>
      </c>
      <c r="M23" s="43" t="s">
        <v>1137</v>
      </c>
    </row>
    <row r="24">
      <c r="A24" s="3" t="s">
        <v>5048</v>
      </c>
      <c r="B24" s="3" t="s">
        <v>5052</v>
      </c>
      <c r="C24" s="3" t="s">
        <v>1871</v>
      </c>
      <c r="D24" s="3" t="s">
        <v>5058</v>
      </c>
      <c r="E24" s="3" t="s">
        <v>5063</v>
      </c>
      <c r="F24" s="3" t="s">
        <v>5066</v>
      </c>
      <c r="G24" s="3" t="s">
        <v>5068</v>
      </c>
      <c r="H24" s="3" t="s">
        <v>1146</v>
      </c>
      <c r="I24" s="3" t="s">
        <v>5077</v>
      </c>
      <c r="J24" s="3" t="s">
        <v>5078</v>
      </c>
      <c r="K24" s="3" t="s">
        <v>5080</v>
      </c>
      <c r="L24" s="3" t="s">
        <v>5081</v>
      </c>
      <c r="M24" s="43" t="s">
        <v>1137</v>
      </c>
    </row>
    <row r="25">
      <c r="A25" s="3" t="s">
        <v>5085</v>
      </c>
      <c r="B25" s="3" t="s">
        <v>5086</v>
      </c>
      <c r="C25" s="3" t="s">
        <v>5089</v>
      </c>
      <c r="D25" s="3" t="s">
        <v>5091</v>
      </c>
      <c r="E25" s="3" t="s">
        <v>5094</v>
      </c>
      <c r="F25" s="3" t="s">
        <v>1130</v>
      </c>
      <c r="G25" s="3" t="s">
        <v>1130</v>
      </c>
      <c r="H25" s="3" t="s">
        <v>1241</v>
      </c>
      <c r="I25" s="3" t="s">
        <v>4785</v>
      </c>
      <c r="J25" s="3" t="s">
        <v>5100</v>
      </c>
      <c r="K25" s="3" t="s">
        <v>5101</v>
      </c>
      <c r="L25" s="3" t="s">
        <v>5106</v>
      </c>
      <c r="M25" s="43" t="s">
        <v>1137</v>
      </c>
    </row>
    <row r="26">
      <c r="A26" s="3" t="s">
        <v>5109</v>
      </c>
      <c r="B26" s="3" t="s">
        <v>5110</v>
      </c>
      <c r="C26" s="3" t="s">
        <v>4897</v>
      </c>
      <c r="D26" s="3" t="s">
        <v>5111</v>
      </c>
      <c r="E26" s="3" t="s">
        <v>5114</v>
      </c>
      <c r="F26" s="3" t="s">
        <v>5117</v>
      </c>
      <c r="G26" s="3" t="s">
        <v>5119</v>
      </c>
      <c r="H26" s="3" t="s">
        <v>1146</v>
      </c>
      <c r="I26" s="3" t="s">
        <v>5123</v>
      </c>
      <c r="J26" s="3" t="s">
        <v>5126</v>
      </c>
      <c r="K26" s="3" t="s">
        <v>5128</v>
      </c>
      <c r="L26" s="3" t="s">
        <v>5130</v>
      </c>
      <c r="M26" s="43" t="s">
        <v>1137</v>
      </c>
    </row>
    <row r="27">
      <c r="A27" s="3" t="s">
        <v>5134</v>
      </c>
      <c r="B27" s="3" t="s">
        <v>5138</v>
      </c>
      <c r="C27" s="3" t="s">
        <v>5141</v>
      </c>
      <c r="D27" s="3" t="s">
        <v>5144</v>
      </c>
      <c r="E27" s="3" t="s">
        <v>5148</v>
      </c>
      <c r="F27" s="3" t="s">
        <v>5152</v>
      </c>
      <c r="G27" s="3" t="s">
        <v>5156</v>
      </c>
      <c r="H27" s="3" t="s">
        <v>1146</v>
      </c>
      <c r="I27" s="3" t="s">
        <v>5159</v>
      </c>
      <c r="J27" s="3" t="s">
        <v>5163</v>
      </c>
      <c r="K27" s="3" t="s">
        <v>5165</v>
      </c>
      <c r="L27" s="3" t="s">
        <v>5168</v>
      </c>
      <c r="M27" s="43" t="s">
        <v>1137</v>
      </c>
    </row>
    <row r="28">
      <c r="A28" s="3" t="s">
        <v>5172</v>
      </c>
      <c r="B28" s="3" t="s">
        <v>5175</v>
      </c>
      <c r="C28" s="3" t="s">
        <v>5178</v>
      </c>
      <c r="D28" s="3" t="s">
        <v>5179</v>
      </c>
      <c r="E28" s="3" t="s">
        <v>5182</v>
      </c>
      <c r="F28" s="3" t="s">
        <v>5185</v>
      </c>
      <c r="G28" s="3" t="s">
        <v>5187</v>
      </c>
      <c r="H28" s="3" t="s">
        <v>1146</v>
      </c>
      <c r="I28" s="3" t="s">
        <v>5191</v>
      </c>
      <c r="J28" s="3" t="s">
        <v>5194</v>
      </c>
      <c r="K28" s="3" t="s">
        <v>5197</v>
      </c>
      <c r="L28" s="3" t="s">
        <v>3156</v>
      </c>
      <c r="M28" s="43" t="s">
        <v>1137</v>
      </c>
    </row>
    <row r="29">
      <c r="A29" s="3" t="s">
        <v>5201</v>
      </c>
      <c r="B29" s="3" t="s">
        <v>5202</v>
      </c>
      <c r="C29" s="3" t="s">
        <v>1503</v>
      </c>
      <c r="D29" s="3" t="s">
        <v>5209</v>
      </c>
      <c r="E29" s="3" t="s">
        <v>5212</v>
      </c>
      <c r="F29" s="3" t="s">
        <v>5215</v>
      </c>
      <c r="G29" s="3" t="s">
        <v>5217</v>
      </c>
      <c r="H29" s="3" t="s">
        <v>1146</v>
      </c>
      <c r="I29" s="3" t="s">
        <v>5220</v>
      </c>
      <c r="J29" s="3" t="s">
        <v>5223</v>
      </c>
      <c r="K29" s="3" t="s">
        <v>5224</v>
      </c>
      <c r="L29" s="3" t="s">
        <v>5226</v>
      </c>
      <c r="M29" s="43" t="s">
        <v>1137</v>
      </c>
    </row>
    <row r="30">
      <c r="A30" s="3" t="s">
        <v>5231</v>
      </c>
      <c r="B30" s="3" t="s">
        <v>5235</v>
      </c>
      <c r="C30" s="3" t="s">
        <v>5237</v>
      </c>
      <c r="D30" s="3" t="s">
        <v>5239</v>
      </c>
      <c r="E30" s="3" t="s">
        <v>5242</v>
      </c>
      <c r="F30" s="3" t="s">
        <v>5245</v>
      </c>
      <c r="G30" s="3" t="s">
        <v>5247</v>
      </c>
      <c r="H30" s="3" t="s">
        <v>1146</v>
      </c>
      <c r="I30" s="3" t="s">
        <v>5251</v>
      </c>
      <c r="J30" s="3" t="s">
        <v>5253</v>
      </c>
      <c r="K30" s="3" t="s">
        <v>5255</v>
      </c>
      <c r="L30" s="3" t="s">
        <v>3156</v>
      </c>
      <c r="M30" s="43" t="s">
        <v>1137</v>
      </c>
    </row>
    <row r="31">
      <c r="A31" s="3" t="s">
        <v>5259</v>
      </c>
      <c r="B31" s="3" t="s">
        <v>5261</v>
      </c>
      <c r="C31" s="3" t="s">
        <v>1126</v>
      </c>
      <c r="D31" s="3" t="s">
        <v>5263</v>
      </c>
      <c r="E31" s="3" t="s">
        <v>5265</v>
      </c>
      <c r="F31" s="3" t="s">
        <v>1130</v>
      </c>
      <c r="G31" s="3" t="s">
        <v>1130</v>
      </c>
      <c r="H31" s="3" t="s">
        <v>1241</v>
      </c>
      <c r="I31" s="3" t="s">
        <v>5269</v>
      </c>
      <c r="J31" s="3" t="s">
        <v>5271</v>
      </c>
      <c r="K31" s="3" t="s">
        <v>5274</v>
      </c>
      <c r="L31" s="3" t="s">
        <v>1293</v>
      </c>
      <c r="M31" s="43" t="s">
        <v>1137</v>
      </c>
    </row>
    <row r="32">
      <c r="A32" s="3" t="s">
        <v>5279</v>
      </c>
      <c r="B32" s="3" t="s">
        <v>5282</v>
      </c>
      <c r="C32" s="3" t="s">
        <v>5284</v>
      </c>
      <c r="D32" s="3" t="s">
        <v>5285</v>
      </c>
      <c r="E32" s="3" t="s">
        <v>5287</v>
      </c>
      <c r="F32" s="3" t="s">
        <v>1130</v>
      </c>
      <c r="G32" s="3" t="s">
        <v>1130</v>
      </c>
      <c r="H32" s="3" t="s">
        <v>1132</v>
      </c>
      <c r="I32" s="3" t="s">
        <v>5290</v>
      </c>
      <c r="J32" s="3" t="s">
        <v>5291</v>
      </c>
      <c r="K32" s="3" t="s">
        <v>5292</v>
      </c>
      <c r="L32" s="3" t="s">
        <v>5294</v>
      </c>
      <c r="M32" s="43" t="s">
        <v>1137</v>
      </c>
    </row>
    <row r="33">
      <c r="A33" s="3" t="s">
        <v>5295</v>
      </c>
      <c r="B33" s="3" t="s">
        <v>5297</v>
      </c>
      <c r="C33" s="3" t="s">
        <v>5299</v>
      </c>
      <c r="D33" s="3" t="s">
        <v>5301</v>
      </c>
      <c r="E33" s="3" t="s">
        <v>5303</v>
      </c>
      <c r="F33" s="3" t="s">
        <v>5305</v>
      </c>
      <c r="G33" s="3" t="s">
        <v>5307</v>
      </c>
      <c r="H33" s="3" t="s">
        <v>3354</v>
      </c>
      <c r="I33" s="3" t="s">
        <v>5309</v>
      </c>
      <c r="J33" s="3" t="s">
        <v>5310</v>
      </c>
      <c r="K33" s="3" t="s">
        <v>5312</v>
      </c>
      <c r="L33" s="3" t="s">
        <v>4918</v>
      </c>
      <c r="M33" s="43" t="s">
        <v>1137</v>
      </c>
    </row>
    <row r="34">
      <c r="A34" s="3" t="s">
        <v>5315</v>
      </c>
      <c r="B34" s="3" t="s">
        <v>5316</v>
      </c>
      <c r="C34" s="3" t="s">
        <v>3235</v>
      </c>
      <c r="D34" s="3" t="s">
        <v>5317</v>
      </c>
      <c r="E34" s="3" t="s">
        <v>5319</v>
      </c>
      <c r="F34" s="3" t="s">
        <v>1225</v>
      </c>
      <c r="G34" s="3" t="s">
        <v>1174</v>
      </c>
      <c r="H34" s="3" t="s">
        <v>1146</v>
      </c>
      <c r="I34" s="3" t="s">
        <v>5321</v>
      </c>
      <c r="J34" s="3" t="s">
        <v>5322</v>
      </c>
      <c r="K34" s="3" t="s">
        <v>5324</v>
      </c>
      <c r="L34" s="3" t="s">
        <v>1392</v>
      </c>
      <c r="M34" s="43" t="s">
        <v>1137</v>
      </c>
    </row>
    <row r="35">
      <c r="A35" s="3" t="s">
        <v>5327</v>
      </c>
      <c r="B35" s="3" t="s">
        <v>5330</v>
      </c>
      <c r="C35" s="3" t="s">
        <v>5333</v>
      </c>
      <c r="D35" s="3" t="s">
        <v>5335</v>
      </c>
      <c r="E35" s="3" t="s">
        <v>5337</v>
      </c>
      <c r="F35" s="3" t="s">
        <v>5339</v>
      </c>
      <c r="G35" s="3" t="s">
        <v>1570</v>
      </c>
      <c r="H35" s="3" t="s">
        <v>1146</v>
      </c>
      <c r="I35" s="3" t="s">
        <v>5344</v>
      </c>
      <c r="J35" s="3" t="s">
        <v>5346</v>
      </c>
      <c r="K35" s="3" t="s">
        <v>5347</v>
      </c>
      <c r="L35" s="3" t="s">
        <v>5349</v>
      </c>
      <c r="M35" s="43" t="s">
        <v>1137</v>
      </c>
    </row>
    <row r="36">
      <c r="A36" s="3" t="s">
        <v>5351</v>
      </c>
      <c r="B36" s="3" t="s">
        <v>5353</v>
      </c>
      <c r="C36" s="3" t="s">
        <v>5354</v>
      </c>
      <c r="D36" s="3" t="s">
        <v>5356</v>
      </c>
      <c r="E36" s="3" t="s">
        <v>5357</v>
      </c>
      <c r="F36" s="3" t="s">
        <v>5358</v>
      </c>
      <c r="G36" s="3" t="s">
        <v>5359</v>
      </c>
      <c r="H36" s="3" t="s">
        <v>1146</v>
      </c>
      <c r="I36" s="3" t="s">
        <v>5360</v>
      </c>
      <c r="J36" s="3" t="s">
        <v>5361</v>
      </c>
      <c r="K36" s="3" t="s">
        <v>5362</v>
      </c>
      <c r="L36" s="3" t="s">
        <v>5363</v>
      </c>
      <c r="M36" s="43" t="s">
        <v>1137</v>
      </c>
    </row>
    <row r="37">
      <c r="A37" s="3" t="s">
        <v>5364</v>
      </c>
      <c r="B37" s="3" t="s">
        <v>5365</v>
      </c>
      <c r="C37" s="3" t="s">
        <v>3203</v>
      </c>
      <c r="D37" s="3" t="s">
        <v>5366</v>
      </c>
      <c r="E37" s="3" t="s">
        <v>5367</v>
      </c>
      <c r="F37" s="3" t="s">
        <v>1130</v>
      </c>
      <c r="G37" s="3" t="s">
        <v>1130</v>
      </c>
      <c r="H37" s="3" t="s">
        <v>1241</v>
      </c>
      <c r="I37" s="3" t="s">
        <v>5368</v>
      </c>
      <c r="J37" s="3" t="s">
        <v>5369</v>
      </c>
      <c r="K37" s="3" t="s">
        <v>5370</v>
      </c>
      <c r="L37" s="3" t="s">
        <v>5371</v>
      </c>
      <c r="M37" s="43" t="s">
        <v>1137</v>
      </c>
    </row>
    <row r="38">
      <c r="A38" s="3" t="s">
        <v>5372</v>
      </c>
      <c r="B38" s="3" t="s">
        <v>5373</v>
      </c>
      <c r="C38" s="3" t="s">
        <v>1184</v>
      </c>
      <c r="D38" s="3" t="s">
        <v>5374</v>
      </c>
      <c r="E38" s="3" t="s">
        <v>5375</v>
      </c>
      <c r="F38" s="3" t="s">
        <v>5376</v>
      </c>
      <c r="G38" s="3" t="s">
        <v>5377</v>
      </c>
      <c r="H38" s="3" t="s">
        <v>1146</v>
      </c>
      <c r="I38" s="3" t="s">
        <v>5378</v>
      </c>
      <c r="J38" s="3" t="s">
        <v>5379</v>
      </c>
      <c r="K38" s="3" t="s">
        <v>5380</v>
      </c>
      <c r="L38" s="3" t="s">
        <v>5381</v>
      </c>
      <c r="M38" s="43" t="s">
        <v>1137</v>
      </c>
    </row>
    <row r="39">
      <c r="A39" s="3" t="s">
        <v>5382</v>
      </c>
      <c r="B39" s="3" t="s">
        <v>5383</v>
      </c>
      <c r="C39" s="3" t="s">
        <v>1141</v>
      </c>
      <c r="D39" s="3" t="s">
        <v>5384</v>
      </c>
      <c r="E39" s="3" t="s">
        <v>5385</v>
      </c>
      <c r="F39" s="3" t="s">
        <v>1619</v>
      </c>
      <c r="G39" s="3" t="s">
        <v>5386</v>
      </c>
      <c r="H39" s="3" t="s">
        <v>1146</v>
      </c>
      <c r="I39" s="3" t="s">
        <v>5387</v>
      </c>
      <c r="J39" s="3" t="s">
        <v>5388</v>
      </c>
      <c r="K39" s="3" t="s">
        <v>5389</v>
      </c>
      <c r="L39" s="3" t="s">
        <v>5390</v>
      </c>
      <c r="M39" s="43" t="s">
        <v>1137</v>
      </c>
    </row>
    <row r="40">
      <c r="A40" s="3" t="s">
        <v>5391</v>
      </c>
      <c r="B40" s="3" t="s">
        <v>5392</v>
      </c>
      <c r="C40" s="3" t="s">
        <v>1153</v>
      </c>
      <c r="D40" s="3" t="s">
        <v>5393</v>
      </c>
      <c r="E40" s="3" t="s">
        <v>5395</v>
      </c>
      <c r="F40" s="3" t="s">
        <v>2108</v>
      </c>
      <c r="G40" s="3" t="s">
        <v>5398</v>
      </c>
      <c r="H40" s="3" t="s">
        <v>1159</v>
      </c>
      <c r="I40" s="3" t="s">
        <v>5401</v>
      </c>
      <c r="J40" s="3" t="s">
        <v>5403</v>
      </c>
      <c r="K40" s="3" t="s">
        <v>5405</v>
      </c>
      <c r="L40" s="3" t="s">
        <v>5406</v>
      </c>
      <c r="M40" s="43" t="s">
        <v>5408</v>
      </c>
    </row>
    <row r="41">
      <c r="A41" s="3" t="s">
        <v>5411</v>
      </c>
      <c r="B41" s="3" t="s">
        <v>5414</v>
      </c>
      <c r="C41" s="3" t="s">
        <v>1153</v>
      </c>
      <c r="D41" s="3" t="s">
        <v>5416</v>
      </c>
      <c r="E41" s="3" t="s">
        <v>5418</v>
      </c>
      <c r="F41" s="3" t="s">
        <v>1173</v>
      </c>
      <c r="G41" s="3" t="s">
        <v>5398</v>
      </c>
      <c r="H41" s="3" t="s">
        <v>1175</v>
      </c>
      <c r="I41" s="3" t="s">
        <v>5424</v>
      </c>
      <c r="J41" s="3" t="s">
        <v>5427</v>
      </c>
      <c r="K41" s="3" t="s">
        <v>5429</v>
      </c>
      <c r="L41" s="3" t="s">
        <v>5430</v>
      </c>
      <c r="M41" s="43" t="s">
        <v>1181</v>
      </c>
    </row>
    <row r="42">
      <c r="A42" s="3" t="s">
        <v>5434</v>
      </c>
      <c r="B42" s="3" t="s">
        <v>5435</v>
      </c>
      <c r="C42" s="3" t="s">
        <v>1153</v>
      </c>
      <c r="D42" s="3" t="s">
        <v>5439</v>
      </c>
      <c r="E42" s="3" t="s">
        <v>3526</v>
      </c>
      <c r="F42" s="3" t="s">
        <v>1597</v>
      </c>
      <c r="G42" s="3" t="s">
        <v>1599</v>
      </c>
      <c r="H42" s="3" t="s">
        <v>1601</v>
      </c>
      <c r="I42" s="3" t="s">
        <v>5444</v>
      </c>
      <c r="J42" s="3" t="s">
        <v>3537</v>
      </c>
      <c r="K42" s="3" t="s">
        <v>5448</v>
      </c>
      <c r="L42" s="3" t="s">
        <v>3541</v>
      </c>
      <c r="M42" s="43" t="s">
        <v>1610</v>
      </c>
    </row>
    <row r="43">
      <c r="A43" s="3" t="s">
        <v>5452</v>
      </c>
      <c r="B43" s="3" t="s">
        <v>5454</v>
      </c>
      <c r="C43" s="3" t="s">
        <v>1635</v>
      </c>
      <c r="D43" s="3" t="s">
        <v>5458</v>
      </c>
      <c r="E43" s="3" t="s">
        <v>5461</v>
      </c>
      <c r="F43" s="3" t="s">
        <v>1643</v>
      </c>
      <c r="G43" s="4" t="s">
        <v>1647</v>
      </c>
      <c r="H43" s="3" t="s">
        <v>1650</v>
      </c>
      <c r="I43" s="3" t="s">
        <v>5471</v>
      </c>
      <c r="J43" s="3" t="s">
        <v>3562</v>
      </c>
      <c r="K43" s="3" t="s">
        <v>4653</v>
      </c>
      <c r="L43" s="3" t="s">
        <v>3565</v>
      </c>
      <c r="M43" s="43" t="s">
        <v>1663</v>
      </c>
    </row>
    <row r="44">
      <c r="A44" s="3" t="s">
        <v>5479</v>
      </c>
      <c r="B44" s="3" t="s">
        <v>5482</v>
      </c>
      <c r="C44" s="3" t="s">
        <v>3324</v>
      </c>
      <c r="D44" s="3" t="s">
        <v>5487</v>
      </c>
      <c r="E44" s="3" t="s">
        <v>5490</v>
      </c>
      <c r="F44" s="3" t="s">
        <v>3576</v>
      </c>
      <c r="G44" s="3" t="s">
        <v>1130</v>
      </c>
      <c r="H44" s="3" t="s">
        <v>5495</v>
      </c>
      <c r="I44" s="3" t="s">
        <v>5498</v>
      </c>
      <c r="J44" s="3" t="s">
        <v>5500</v>
      </c>
      <c r="K44" s="3" t="s">
        <v>5502</v>
      </c>
      <c r="L44" s="3" t="s">
        <v>3588</v>
      </c>
      <c r="M44" s="43" t="s">
        <v>1663</v>
      </c>
    </row>
    <row r="45">
      <c r="A45" s="3" t="s">
        <v>5506</v>
      </c>
      <c r="B45" s="3" t="s">
        <v>5507</v>
      </c>
      <c r="C45" s="3" t="s">
        <v>5510</v>
      </c>
      <c r="D45" s="3" t="s">
        <v>5511</v>
      </c>
      <c r="E45" s="3" t="s">
        <v>5514</v>
      </c>
      <c r="F45" s="3" t="s">
        <v>5517</v>
      </c>
      <c r="G45" s="3" t="s">
        <v>5519</v>
      </c>
      <c r="H45" s="3" t="s">
        <v>5521</v>
      </c>
      <c r="I45" s="3" t="s">
        <v>5523</v>
      </c>
      <c r="J45" s="3" t="s">
        <v>5526</v>
      </c>
      <c r="K45" s="3" t="s">
        <v>5528</v>
      </c>
      <c r="L45" s="3" t="s">
        <v>5530</v>
      </c>
      <c r="M45" s="43" t="s">
        <v>5531</v>
      </c>
    </row>
    <row r="46">
      <c r="A46" s="3" t="s">
        <v>5534</v>
      </c>
      <c r="B46" s="3" t="s">
        <v>5536</v>
      </c>
      <c r="C46" s="3" t="s">
        <v>5539</v>
      </c>
      <c r="D46" s="3" t="s">
        <v>5542</v>
      </c>
      <c r="E46" s="3" t="s">
        <v>5544</v>
      </c>
      <c r="F46" s="3" t="s">
        <v>5546</v>
      </c>
      <c r="G46" s="3" t="s">
        <v>5548</v>
      </c>
      <c r="H46" s="3" t="s">
        <v>1146</v>
      </c>
      <c r="I46" s="3" t="s">
        <v>5552</v>
      </c>
      <c r="J46" s="3" t="s">
        <v>5553</v>
      </c>
      <c r="K46" s="3" t="s">
        <v>5554</v>
      </c>
      <c r="L46" s="3" t="s">
        <v>5556</v>
      </c>
      <c r="M46" s="43" t="s">
        <v>5558</v>
      </c>
    </row>
  </sheetData>
  <autoFilter ref="$A$1:$M$46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22.63"/>
  </cols>
  <sheetData>
    <row r="1">
      <c r="A1" s="44" t="s">
        <v>1200</v>
      </c>
      <c r="B1" s="44" t="s">
        <v>1205</v>
      </c>
      <c r="C1" s="44" t="s">
        <v>1209</v>
      </c>
      <c r="D1" s="44" t="s">
        <v>1212</v>
      </c>
      <c r="E1" s="44" t="s">
        <v>1215</v>
      </c>
      <c r="F1" s="44" t="s">
        <v>1217</v>
      </c>
      <c r="G1" s="44" t="s">
        <v>1220</v>
      </c>
      <c r="H1" s="44" t="s">
        <v>1224</v>
      </c>
      <c r="I1" s="44" t="s">
        <v>1226</v>
      </c>
      <c r="J1" s="44" t="s">
        <v>1227</v>
      </c>
      <c r="K1" s="44" t="s">
        <v>1229</v>
      </c>
      <c r="L1" s="44" t="s">
        <v>1121</v>
      </c>
    </row>
    <row r="2">
      <c r="A2" s="3" t="s">
        <v>4817</v>
      </c>
      <c r="B2" s="3" t="s">
        <v>4818</v>
      </c>
      <c r="C2" s="3" t="s">
        <v>188</v>
      </c>
      <c r="D2" s="3" t="s">
        <v>4820</v>
      </c>
      <c r="E2" s="3" t="s">
        <v>4822</v>
      </c>
      <c r="F2" s="3" t="s">
        <v>4824</v>
      </c>
      <c r="G2" s="3" t="s">
        <v>3871</v>
      </c>
      <c r="H2" s="3" t="s">
        <v>4827</v>
      </c>
      <c r="I2" s="3" t="s">
        <v>4828</v>
      </c>
      <c r="J2" s="3" t="s">
        <v>4829</v>
      </c>
      <c r="K2" s="40" t="s">
        <v>4439</v>
      </c>
      <c r="L2" s="43" t="s">
        <v>3052</v>
      </c>
    </row>
    <row r="3">
      <c r="A3" s="3" t="s">
        <v>4867</v>
      </c>
      <c r="B3" s="3" t="s">
        <v>4870</v>
      </c>
      <c r="C3" s="3" t="s">
        <v>1359</v>
      </c>
      <c r="D3" s="3" t="s">
        <v>4875</v>
      </c>
      <c r="E3" s="3" t="s">
        <v>4877</v>
      </c>
      <c r="F3" s="3" t="s">
        <v>4881</v>
      </c>
      <c r="G3" s="3" t="s">
        <v>4886</v>
      </c>
      <c r="H3" s="3" t="s">
        <v>4889</v>
      </c>
      <c r="I3" s="3" t="s">
        <v>4891</v>
      </c>
      <c r="J3" s="3" t="s">
        <v>4895</v>
      </c>
      <c r="K3" s="40" t="s">
        <v>4310</v>
      </c>
      <c r="L3" s="43" t="s">
        <v>4947</v>
      </c>
    </row>
    <row r="4">
      <c r="A4" s="3" t="s">
        <v>4950</v>
      </c>
      <c r="B4" s="3" t="s">
        <v>4953</v>
      </c>
      <c r="C4" s="3" t="s">
        <v>1359</v>
      </c>
      <c r="D4" s="3" t="s">
        <v>4957</v>
      </c>
      <c r="E4" s="3" t="s">
        <v>4961</v>
      </c>
      <c r="F4" s="3" t="s">
        <v>4964</v>
      </c>
      <c r="G4" s="3" t="s">
        <v>4966</v>
      </c>
      <c r="H4" s="3" t="s">
        <v>4969</v>
      </c>
      <c r="I4" s="3" t="s">
        <v>4971</v>
      </c>
      <c r="J4" s="3" t="s">
        <v>4974</v>
      </c>
      <c r="K4" s="40" t="s">
        <v>4543</v>
      </c>
      <c r="L4" s="43" t="s">
        <v>5016</v>
      </c>
    </row>
    <row r="5">
      <c r="A5" s="3" t="s">
        <v>5020</v>
      </c>
      <c r="B5" s="3" t="s">
        <v>5022</v>
      </c>
      <c r="C5" s="3" t="s">
        <v>1359</v>
      </c>
      <c r="D5" s="3" t="s">
        <v>5025</v>
      </c>
      <c r="E5" s="3" t="s">
        <v>4589</v>
      </c>
      <c r="F5" s="3" t="s">
        <v>5030</v>
      </c>
      <c r="G5" s="3" t="s">
        <v>4966</v>
      </c>
      <c r="H5" s="3" t="s">
        <v>5034</v>
      </c>
      <c r="I5" s="3" t="s">
        <v>5036</v>
      </c>
      <c r="J5" s="3" t="s">
        <v>5040</v>
      </c>
      <c r="K5" s="40" t="s">
        <v>4543</v>
      </c>
      <c r="L5" s="43" t="s">
        <v>5046</v>
      </c>
    </row>
    <row r="6">
      <c r="A6" s="3" t="s">
        <v>5049</v>
      </c>
      <c r="B6" s="3" t="s">
        <v>5051</v>
      </c>
      <c r="C6" s="3" t="s">
        <v>1359</v>
      </c>
      <c r="D6" s="3" t="s">
        <v>5056</v>
      </c>
      <c r="E6" s="3" t="s">
        <v>5059</v>
      </c>
      <c r="F6" s="3" t="s">
        <v>5062</v>
      </c>
      <c r="G6" s="3" t="s">
        <v>5065</v>
      </c>
      <c r="H6" s="3" t="s">
        <v>5067</v>
      </c>
      <c r="I6" s="3" t="s">
        <v>5071</v>
      </c>
      <c r="J6" s="3" t="s">
        <v>5073</v>
      </c>
      <c r="K6" s="40" t="s">
        <v>1066</v>
      </c>
      <c r="L6" s="43" t="s">
        <v>5136</v>
      </c>
    </row>
    <row r="7">
      <c r="A7" s="3" t="s">
        <v>5139</v>
      </c>
      <c r="B7" s="3" t="s">
        <v>5142</v>
      </c>
      <c r="C7" s="3" t="s">
        <v>1359</v>
      </c>
      <c r="D7" s="3" t="s">
        <v>5147</v>
      </c>
      <c r="E7" s="3" t="s">
        <v>5151</v>
      </c>
      <c r="F7" s="3" t="s">
        <v>5154</v>
      </c>
      <c r="G7" s="3" t="s">
        <v>5157</v>
      </c>
      <c r="H7" s="3" t="s">
        <v>5158</v>
      </c>
      <c r="I7" s="3" t="s">
        <v>5161</v>
      </c>
      <c r="J7" s="3" t="s">
        <v>5164</v>
      </c>
      <c r="K7" s="40" t="s">
        <v>4668</v>
      </c>
      <c r="L7" s="43" t="s">
        <v>5228</v>
      </c>
    </row>
    <row r="8">
      <c r="A8" s="3" t="s">
        <v>5232</v>
      </c>
      <c r="B8" s="3" t="s">
        <v>5236</v>
      </c>
      <c r="C8" s="3" t="s">
        <v>1382</v>
      </c>
      <c r="D8" s="3" t="s">
        <v>5241</v>
      </c>
      <c r="E8" s="3" t="s">
        <v>5244</v>
      </c>
      <c r="F8" s="3" t="s">
        <v>5248</v>
      </c>
      <c r="G8" s="3" t="s">
        <v>5249</v>
      </c>
      <c r="H8" s="3" t="s">
        <v>5252</v>
      </c>
      <c r="I8" s="3" t="s">
        <v>5254</v>
      </c>
      <c r="J8" s="3" t="s">
        <v>5257</v>
      </c>
      <c r="K8" s="40" t="s">
        <v>698</v>
      </c>
      <c r="L8" s="43" t="s">
        <v>5320</v>
      </c>
    </row>
    <row r="9">
      <c r="A9" s="3" t="s">
        <v>5323</v>
      </c>
      <c r="B9" s="3" t="s">
        <v>5325</v>
      </c>
      <c r="C9" s="3" t="s">
        <v>1382</v>
      </c>
      <c r="D9" s="3" t="s">
        <v>5329</v>
      </c>
      <c r="E9" s="3" t="s">
        <v>5332</v>
      </c>
      <c r="F9" s="3" t="s">
        <v>5336</v>
      </c>
      <c r="G9" s="3" t="s">
        <v>5338</v>
      </c>
      <c r="H9" s="3" t="s">
        <v>5341</v>
      </c>
      <c r="I9" s="3" t="s">
        <v>5343</v>
      </c>
      <c r="J9" s="3" t="s">
        <v>5345</v>
      </c>
      <c r="K9" s="40" t="s">
        <v>1010</v>
      </c>
      <c r="L9" s="43" t="s">
        <v>5394</v>
      </c>
    </row>
    <row r="10">
      <c r="A10" s="3" t="s">
        <v>5396</v>
      </c>
      <c r="B10" s="3" t="s">
        <v>5397</v>
      </c>
      <c r="C10" s="3" t="s">
        <v>1382</v>
      </c>
      <c r="D10" s="3" t="s">
        <v>5399</v>
      </c>
      <c r="E10" s="3" t="s">
        <v>5400</v>
      </c>
      <c r="F10" s="3" t="s">
        <v>5402</v>
      </c>
      <c r="G10" s="3" t="s">
        <v>5404</v>
      </c>
      <c r="H10" s="3" t="s">
        <v>5407</v>
      </c>
      <c r="I10" s="3" t="s">
        <v>5410</v>
      </c>
      <c r="J10" s="3" t="s">
        <v>5413</v>
      </c>
      <c r="K10" s="40" t="s">
        <v>4668</v>
      </c>
      <c r="L10" s="43" t="s">
        <v>5422</v>
      </c>
    </row>
    <row r="11">
      <c r="A11" s="3" t="s">
        <v>5426</v>
      </c>
      <c r="B11" s="3" t="s">
        <v>5428</v>
      </c>
      <c r="C11" s="3" t="s">
        <v>1382</v>
      </c>
      <c r="D11" s="3" t="s">
        <v>5432</v>
      </c>
      <c r="E11" s="3" t="s">
        <v>5083</v>
      </c>
      <c r="F11" s="3" t="s">
        <v>5437</v>
      </c>
      <c r="G11" s="3" t="s">
        <v>5440</v>
      </c>
      <c r="H11" s="3" t="s">
        <v>5441</v>
      </c>
      <c r="I11" s="3" t="s">
        <v>5442</v>
      </c>
      <c r="J11" s="3" t="s">
        <v>5445</v>
      </c>
      <c r="K11" s="40" t="s">
        <v>1010</v>
      </c>
      <c r="L11" s="43" t="s">
        <v>5450</v>
      </c>
    </row>
    <row r="12">
      <c r="A12" s="3" t="s">
        <v>5453</v>
      </c>
      <c r="B12" s="3" t="s">
        <v>5455</v>
      </c>
      <c r="C12" s="3" t="s">
        <v>1382</v>
      </c>
      <c r="D12" s="3" t="s">
        <v>5460</v>
      </c>
      <c r="E12" s="3" t="s">
        <v>5462</v>
      </c>
      <c r="F12" s="3" t="s">
        <v>5463</v>
      </c>
      <c r="G12" s="3" t="s">
        <v>5465</v>
      </c>
      <c r="H12" s="3" t="s">
        <v>5467</v>
      </c>
      <c r="I12" s="3" t="s">
        <v>5469</v>
      </c>
      <c r="J12" s="3" t="s">
        <v>5472</v>
      </c>
      <c r="K12" s="40" t="s">
        <v>698</v>
      </c>
      <c r="L12" s="43" t="s">
        <v>5474</v>
      </c>
    </row>
    <row r="13">
      <c r="A13" s="3" t="s">
        <v>5475</v>
      </c>
      <c r="B13" s="3" t="s">
        <v>5477</v>
      </c>
      <c r="C13" s="3" t="s">
        <v>1382</v>
      </c>
      <c r="D13" s="3" t="s">
        <v>5481</v>
      </c>
      <c r="E13" s="3" t="s">
        <v>5484</v>
      </c>
      <c r="F13" s="3" t="s">
        <v>5486</v>
      </c>
      <c r="G13" s="3" t="s">
        <v>5489</v>
      </c>
      <c r="H13" s="3" t="s">
        <v>5492</v>
      </c>
      <c r="I13" s="3" t="s">
        <v>5493</v>
      </c>
      <c r="J13" s="3" t="s">
        <v>5494</v>
      </c>
      <c r="K13" s="40" t="s">
        <v>987</v>
      </c>
      <c r="L13" s="43" t="s">
        <v>5562</v>
      </c>
    </row>
    <row r="14">
      <c r="A14" s="3" t="s">
        <v>5563</v>
      </c>
      <c r="B14" s="3" t="s">
        <v>5565</v>
      </c>
      <c r="C14" s="3" t="s">
        <v>1382</v>
      </c>
      <c r="D14" s="3" t="s">
        <v>5568</v>
      </c>
      <c r="E14" s="3" t="s">
        <v>5570</v>
      </c>
      <c r="F14" s="3" t="s">
        <v>5571</v>
      </c>
      <c r="G14" s="3" t="s">
        <v>1938</v>
      </c>
      <c r="H14" s="3" t="s">
        <v>5573</v>
      </c>
      <c r="I14" s="3" t="s">
        <v>5575</v>
      </c>
      <c r="J14" s="3" t="s">
        <v>5577</v>
      </c>
      <c r="K14" s="40" t="s">
        <v>4439</v>
      </c>
      <c r="L14" s="43" t="s">
        <v>1874</v>
      </c>
    </row>
    <row r="15">
      <c r="A15" s="3" t="s">
        <v>5584</v>
      </c>
      <c r="B15" s="3" t="s">
        <v>5585</v>
      </c>
      <c r="C15" s="3" t="s">
        <v>1382</v>
      </c>
      <c r="D15" s="3" t="s">
        <v>5587</v>
      </c>
      <c r="E15" s="3" t="s">
        <v>5590</v>
      </c>
      <c r="F15" s="3" t="s">
        <v>5591</v>
      </c>
      <c r="G15" s="3" t="s">
        <v>5592</v>
      </c>
      <c r="H15" s="3" t="s">
        <v>5594</v>
      </c>
      <c r="I15" s="3" t="s">
        <v>5595</v>
      </c>
      <c r="J15" s="3" t="s">
        <v>5596</v>
      </c>
      <c r="K15" s="40" t="s">
        <v>1066</v>
      </c>
      <c r="L15" s="43" t="s">
        <v>5600</v>
      </c>
    </row>
    <row r="16">
      <c r="A16" s="3" t="s">
        <v>5601</v>
      </c>
      <c r="B16" s="3" t="s">
        <v>5602</v>
      </c>
      <c r="C16" s="3" t="s">
        <v>1382</v>
      </c>
      <c r="D16" s="3" t="s">
        <v>5604</v>
      </c>
      <c r="E16" s="3" t="s">
        <v>5605</v>
      </c>
      <c r="F16" s="3" t="s">
        <v>5608</v>
      </c>
      <c r="G16" s="3" t="s">
        <v>5611</v>
      </c>
      <c r="H16" s="3" t="s">
        <v>5614</v>
      </c>
      <c r="I16" s="3" t="s">
        <v>5617</v>
      </c>
      <c r="J16" s="3" t="s">
        <v>5619</v>
      </c>
      <c r="K16" s="40" t="s">
        <v>1066</v>
      </c>
      <c r="L16" s="43" t="s">
        <v>5622</v>
      </c>
    </row>
    <row r="17">
      <c r="A17" s="3" t="s">
        <v>5625</v>
      </c>
      <c r="B17" s="3" t="s">
        <v>5627</v>
      </c>
      <c r="C17" s="3" t="s">
        <v>1382</v>
      </c>
      <c r="D17" s="3" t="s">
        <v>5630</v>
      </c>
      <c r="E17" s="3" t="s">
        <v>5632</v>
      </c>
      <c r="F17" s="3" t="s">
        <v>5634</v>
      </c>
      <c r="G17" s="3" t="s">
        <v>5635</v>
      </c>
      <c r="H17" s="3" t="s">
        <v>5638</v>
      </c>
      <c r="I17" s="3" t="s">
        <v>5639</v>
      </c>
      <c r="J17" s="3" t="s">
        <v>5641</v>
      </c>
      <c r="K17" s="40" t="s">
        <v>1010</v>
      </c>
      <c r="L17" s="43" t="s">
        <v>5644</v>
      </c>
    </row>
    <row r="18">
      <c r="A18" s="3" t="s">
        <v>5645</v>
      </c>
      <c r="B18" s="3" t="s">
        <v>5647</v>
      </c>
      <c r="C18" s="3" t="s">
        <v>1382</v>
      </c>
      <c r="D18" s="3" t="s">
        <v>5650</v>
      </c>
      <c r="E18" s="3" t="s">
        <v>5652</v>
      </c>
      <c r="F18" s="3" t="s">
        <v>5654</v>
      </c>
      <c r="G18" s="3" t="s">
        <v>5657</v>
      </c>
      <c r="H18" s="3" t="s">
        <v>5658</v>
      </c>
      <c r="I18" s="3" t="s">
        <v>5661</v>
      </c>
      <c r="J18" s="3" t="s">
        <v>5664</v>
      </c>
      <c r="K18" s="40" t="s">
        <v>4439</v>
      </c>
      <c r="L18" s="43" t="s">
        <v>5666</v>
      </c>
    </row>
    <row r="19">
      <c r="A19" s="3" t="s">
        <v>5667</v>
      </c>
      <c r="B19" s="3" t="s">
        <v>5670</v>
      </c>
      <c r="C19" s="3" t="s">
        <v>1382</v>
      </c>
      <c r="D19" s="3" t="s">
        <v>5674</v>
      </c>
      <c r="E19" s="3" t="s">
        <v>5676</v>
      </c>
      <c r="F19" s="3" t="s">
        <v>5678</v>
      </c>
      <c r="G19" s="3" t="s">
        <v>5681</v>
      </c>
      <c r="H19" s="3" t="s">
        <v>5683</v>
      </c>
      <c r="I19" s="3" t="s">
        <v>5684</v>
      </c>
      <c r="J19" s="3" t="s">
        <v>5686</v>
      </c>
      <c r="K19" s="40" t="s">
        <v>987</v>
      </c>
      <c r="L19" s="43" t="s">
        <v>2800</v>
      </c>
    </row>
    <row r="20">
      <c r="A20" s="3" t="s">
        <v>5691</v>
      </c>
      <c r="B20" s="3" t="s">
        <v>5693</v>
      </c>
      <c r="C20" s="3" t="s">
        <v>1382</v>
      </c>
      <c r="D20" s="3" t="s">
        <v>5696</v>
      </c>
      <c r="E20" s="3" t="s">
        <v>5697</v>
      </c>
      <c r="F20" s="3" t="s">
        <v>5698</v>
      </c>
      <c r="G20" s="3" t="s">
        <v>5700</v>
      </c>
      <c r="H20" s="3" t="s">
        <v>5702</v>
      </c>
      <c r="I20" s="3" t="s">
        <v>5704</v>
      </c>
      <c r="J20" s="3" t="s">
        <v>5706</v>
      </c>
      <c r="K20" s="40" t="s">
        <v>1066</v>
      </c>
      <c r="L20" s="43" t="s">
        <v>5709</v>
      </c>
    </row>
    <row r="21">
      <c r="A21" s="3" t="s">
        <v>5712</v>
      </c>
      <c r="B21" s="3" t="s">
        <v>5714</v>
      </c>
      <c r="C21" s="3" t="s">
        <v>1382</v>
      </c>
      <c r="D21" s="3" t="s">
        <v>5716</v>
      </c>
      <c r="E21" s="3" t="s">
        <v>5718</v>
      </c>
      <c r="F21" s="3" t="s">
        <v>5719</v>
      </c>
      <c r="G21" s="3" t="s">
        <v>5635</v>
      </c>
      <c r="H21" s="3" t="s">
        <v>5721</v>
      </c>
      <c r="I21" s="3" t="s">
        <v>5723</v>
      </c>
      <c r="J21" s="3" t="s">
        <v>5725</v>
      </c>
      <c r="K21" s="40" t="s">
        <v>1010</v>
      </c>
      <c r="L21" s="43" t="s">
        <v>5729</v>
      </c>
    </row>
    <row r="22">
      <c r="A22" s="3" t="s">
        <v>5732</v>
      </c>
      <c r="B22" s="3" t="s">
        <v>5733</v>
      </c>
      <c r="C22" s="3" t="s">
        <v>1382</v>
      </c>
      <c r="D22" s="3" t="s">
        <v>5735</v>
      </c>
      <c r="E22" s="3" t="s">
        <v>5738</v>
      </c>
      <c r="F22" s="3" t="s">
        <v>5741</v>
      </c>
      <c r="G22" s="3" t="s">
        <v>5635</v>
      </c>
      <c r="H22" s="3" t="s">
        <v>5745</v>
      </c>
      <c r="I22" s="3" t="s">
        <v>5746</v>
      </c>
      <c r="J22" s="3" t="s">
        <v>5748</v>
      </c>
      <c r="K22" s="40" t="s">
        <v>1075</v>
      </c>
      <c r="L22" s="43" t="s">
        <v>5778</v>
      </c>
    </row>
    <row r="23">
      <c r="A23" s="3" t="s">
        <v>5781</v>
      </c>
      <c r="B23" s="3" t="s">
        <v>1072</v>
      </c>
      <c r="C23" s="3" t="s">
        <v>1382</v>
      </c>
      <c r="D23" s="3" t="s">
        <v>5788</v>
      </c>
      <c r="E23" s="3" t="s">
        <v>5789</v>
      </c>
      <c r="F23" s="3" t="s">
        <v>5792</v>
      </c>
      <c r="G23" s="3" t="s">
        <v>5793</v>
      </c>
      <c r="H23" s="3" t="s">
        <v>5797</v>
      </c>
      <c r="I23" s="3" t="s">
        <v>5801</v>
      </c>
      <c r="J23" s="3" t="s">
        <v>5803</v>
      </c>
      <c r="K23" s="40" t="s">
        <v>1075</v>
      </c>
      <c r="L23" s="43" t="s">
        <v>5810</v>
      </c>
    </row>
    <row r="24">
      <c r="A24" s="3" t="s">
        <v>5816</v>
      </c>
      <c r="B24" s="3" t="s">
        <v>5819</v>
      </c>
      <c r="C24" s="3" t="s">
        <v>328</v>
      </c>
      <c r="D24" s="3" t="s">
        <v>5823</v>
      </c>
      <c r="E24" s="3" t="s">
        <v>5828</v>
      </c>
      <c r="F24" s="3" t="s">
        <v>5830</v>
      </c>
      <c r="G24" s="3" t="s">
        <v>5833</v>
      </c>
      <c r="H24" s="3" t="s">
        <v>5836</v>
      </c>
      <c r="I24" s="3" t="s">
        <v>5839</v>
      </c>
      <c r="J24" s="3" t="s">
        <v>5843</v>
      </c>
      <c r="K24" s="40" t="s">
        <v>1075</v>
      </c>
      <c r="L24" s="43" t="s">
        <v>2252</v>
      </c>
    </row>
    <row r="25">
      <c r="A25" s="3" t="s">
        <v>5849</v>
      </c>
      <c r="B25" s="3" t="s">
        <v>5852</v>
      </c>
      <c r="C25" s="3" t="s">
        <v>1382</v>
      </c>
      <c r="D25" s="3" t="s">
        <v>5855</v>
      </c>
      <c r="E25" s="3" t="s">
        <v>5857</v>
      </c>
      <c r="F25" s="3" t="s">
        <v>5859</v>
      </c>
      <c r="G25" s="3" t="s">
        <v>5635</v>
      </c>
      <c r="H25" s="3" t="s">
        <v>5863</v>
      </c>
      <c r="I25" s="3" t="s">
        <v>5865</v>
      </c>
      <c r="J25" s="3" t="s">
        <v>5867</v>
      </c>
      <c r="K25" s="40" t="s">
        <v>4439</v>
      </c>
      <c r="L25" s="43" t="s">
        <v>5874</v>
      </c>
    </row>
    <row r="26">
      <c r="A26" s="3" t="s">
        <v>5878</v>
      </c>
      <c r="B26" s="3" t="s">
        <v>5881</v>
      </c>
      <c r="C26" s="3" t="s">
        <v>1382</v>
      </c>
      <c r="D26" s="3" t="s">
        <v>5884</v>
      </c>
      <c r="E26" s="3" t="s">
        <v>5886</v>
      </c>
      <c r="F26" s="3" t="s">
        <v>5889</v>
      </c>
      <c r="G26" s="3" t="s">
        <v>5892</v>
      </c>
      <c r="H26" s="3" t="s">
        <v>5894</v>
      </c>
      <c r="I26" s="3" t="s">
        <v>5897</v>
      </c>
      <c r="J26" s="3" t="s">
        <v>5900</v>
      </c>
      <c r="K26" s="40" t="s">
        <v>987</v>
      </c>
      <c r="L26" s="43" t="s">
        <v>5904</v>
      </c>
    </row>
    <row r="27">
      <c r="A27" s="3" t="s">
        <v>5906</v>
      </c>
      <c r="B27" s="3" t="s">
        <v>5907</v>
      </c>
      <c r="C27" s="3" t="s">
        <v>1382</v>
      </c>
      <c r="D27" s="3" t="s">
        <v>5910</v>
      </c>
      <c r="E27" s="3" t="s">
        <v>5912</v>
      </c>
      <c r="F27" s="3" t="s">
        <v>5915</v>
      </c>
      <c r="G27" s="3" t="s">
        <v>5916</v>
      </c>
      <c r="H27" s="3" t="s">
        <v>5918</v>
      </c>
      <c r="I27" s="3" t="s">
        <v>5921</v>
      </c>
      <c r="J27" s="3" t="s">
        <v>5922</v>
      </c>
      <c r="K27" s="40" t="s">
        <v>987</v>
      </c>
      <c r="L27" s="43" t="s">
        <v>5925</v>
      </c>
    </row>
    <row r="28">
      <c r="A28" s="3" t="s">
        <v>5928</v>
      </c>
      <c r="B28" s="3" t="s">
        <v>5929</v>
      </c>
      <c r="C28" s="3" t="s">
        <v>1359</v>
      </c>
      <c r="D28" s="3" t="s">
        <v>5931</v>
      </c>
      <c r="E28" s="3" t="s">
        <v>5933</v>
      </c>
      <c r="F28" s="3" t="s">
        <v>5934</v>
      </c>
      <c r="G28" s="3" t="s">
        <v>5937</v>
      </c>
      <c r="H28" s="3" t="s">
        <v>5940</v>
      </c>
      <c r="I28" s="3" t="s">
        <v>5942</v>
      </c>
      <c r="J28" s="3" t="s">
        <v>5943</v>
      </c>
      <c r="K28" s="40" t="s">
        <v>4439</v>
      </c>
      <c r="L28" s="43" t="s">
        <v>5944</v>
      </c>
    </row>
    <row r="29">
      <c r="A29" s="3" t="s">
        <v>5946</v>
      </c>
      <c r="B29" s="3" t="s">
        <v>5947</v>
      </c>
      <c r="C29" s="3" t="s">
        <v>1382</v>
      </c>
      <c r="D29" s="3" t="s">
        <v>5950</v>
      </c>
      <c r="E29" s="3" t="s">
        <v>5952</v>
      </c>
      <c r="F29" s="3" t="s">
        <v>5954</v>
      </c>
      <c r="G29" s="3" t="s">
        <v>5956</v>
      </c>
      <c r="H29" s="3" t="s">
        <v>5965</v>
      </c>
      <c r="I29" s="3" t="s">
        <v>5967</v>
      </c>
      <c r="J29" s="3" t="s">
        <v>5969</v>
      </c>
      <c r="K29" s="40" t="s">
        <v>987</v>
      </c>
      <c r="L29" s="43" t="s">
        <v>5976</v>
      </c>
    </row>
    <row r="30">
      <c r="A30" s="3" t="s">
        <v>5980</v>
      </c>
      <c r="B30" s="3" t="s">
        <v>5982</v>
      </c>
      <c r="C30" s="3" t="s">
        <v>1382</v>
      </c>
      <c r="D30" s="3" t="s">
        <v>5986</v>
      </c>
      <c r="E30" s="3" t="s">
        <v>5988</v>
      </c>
      <c r="F30" s="3" t="s">
        <v>5990</v>
      </c>
      <c r="G30" s="3" t="s">
        <v>5635</v>
      </c>
      <c r="H30" s="3" t="s">
        <v>5993</v>
      </c>
      <c r="I30" s="3" t="s">
        <v>5997</v>
      </c>
      <c r="J30" s="3" t="s">
        <v>5999</v>
      </c>
      <c r="K30" s="40" t="s">
        <v>987</v>
      </c>
      <c r="L30" s="43" t="s">
        <v>6006</v>
      </c>
    </row>
    <row r="31">
      <c r="A31" s="3" t="s">
        <v>6009</v>
      </c>
      <c r="B31" s="3" t="s">
        <v>6016</v>
      </c>
      <c r="C31" s="3" t="s">
        <v>328</v>
      </c>
      <c r="D31" s="3" t="s">
        <v>4526</v>
      </c>
      <c r="E31" s="3" t="s">
        <v>2811</v>
      </c>
      <c r="F31" s="3" t="s">
        <v>6023</v>
      </c>
      <c r="G31" s="3" t="s">
        <v>6025</v>
      </c>
      <c r="H31" s="3" t="s">
        <v>6028</v>
      </c>
      <c r="I31" s="3" t="s">
        <v>6029</v>
      </c>
      <c r="J31" s="3" t="s">
        <v>3786</v>
      </c>
      <c r="K31" s="40" t="s">
        <v>676</v>
      </c>
      <c r="L31" s="43" t="s">
        <v>2332</v>
      </c>
    </row>
    <row r="32">
      <c r="A32" s="3" t="s">
        <v>6071</v>
      </c>
      <c r="B32" s="3" t="s">
        <v>2335</v>
      </c>
      <c r="C32" s="3" t="s">
        <v>328</v>
      </c>
      <c r="D32" s="3" t="s">
        <v>6075</v>
      </c>
      <c r="E32" s="3" t="s">
        <v>3863</v>
      </c>
      <c r="F32" s="3" t="s">
        <v>6079</v>
      </c>
      <c r="G32" s="3" t="s">
        <v>6081</v>
      </c>
      <c r="H32" s="3" t="s">
        <v>6083</v>
      </c>
      <c r="I32" s="3" t="s">
        <v>6087</v>
      </c>
      <c r="J32" s="3" t="s">
        <v>6089</v>
      </c>
      <c r="K32" s="40" t="s">
        <v>676</v>
      </c>
      <c r="L32" s="43" t="s">
        <v>1128</v>
      </c>
    </row>
    <row r="33">
      <c r="A33" s="3" t="s">
        <v>6097</v>
      </c>
      <c r="B33" s="3" t="s">
        <v>2352</v>
      </c>
      <c r="C33" s="3" t="s">
        <v>333</v>
      </c>
      <c r="D33" s="3" t="s">
        <v>6102</v>
      </c>
      <c r="E33" s="3" t="s">
        <v>6105</v>
      </c>
      <c r="F33" s="3" t="s">
        <v>6108</v>
      </c>
      <c r="G33" s="3" t="s">
        <v>2361</v>
      </c>
      <c r="H33" s="3" t="s">
        <v>6112</v>
      </c>
      <c r="I33" s="3" t="s">
        <v>6114</v>
      </c>
      <c r="J33" s="3" t="s">
        <v>6116</v>
      </c>
      <c r="K33" s="40" t="s">
        <v>676</v>
      </c>
      <c r="L33" s="43" t="s">
        <v>2378</v>
      </c>
    </row>
  </sheetData>
  <autoFilter ref="$A$1:$L$33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</hyperlinks>
  <drawing r:id="rId3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4853</v>
      </c>
      <c r="B1" s="2" t="s">
        <v>4858</v>
      </c>
      <c r="C1" s="2" t="s">
        <v>4862</v>
      </c>
      <c r="D1" s="2" t="s">
        <v>25</v>
      </c>
      <c r="E1" s="2" t="s">
        <v>28</v>
      </c>
      <c r="F1" s="2" t="s">
        <v>4871</v>
      </c>
      <c r="G1" s="2" t="s">
        <v>4873</v>
      </c>
      <c r="H1" s="2" t="s">
        <v>4876</v>
      </c>
      <c r="I1" s="2" t="s">
        <v>4878</v>
      </c>
      <c r="J1" s="2" t="s">
        <v>4880</v>
      </c>
      <c r="K1" s="2" t="s">
        <v>4884</v>
      </c>
      <c r="L1" s="2" t="s">
        <v>4888</v>
      </c>
      <c r="M1" s="2" t="s">
        <v>29</v>
      </c>
      <c r="N1" s="2" t="s">
        <v>4894</v>
      </c>
    </row>
    <row r="2">
      <c r="A2" s="3" t="s">
        <v>4898</v>
      </c>
      <c r="B2" s="3" t="s">
        <v>4900</v>
      </c>
      <c r="C2" s="3" t="s">
        <v>4903</v>
      </c>
      <c r="D2" s="3" t="s">
        <v>4905</v>
      </c>
      <c r="E2" s="3" t="s">
        <v>131</v>
      </c>
      <c r="F2" s="3" t="s">
        <v>102</v>
      </c>
      <c r="G2" s="3" t="s">
        <v>4911</v>
      </c>
      <c r="H2" s="3" t="s">
        <v>4914</v>
      </c>
      <c r="I2" s="3" t="s">
        <v>4917</v>
      </c>
      <c r="J2" s="3" t="s">
        <v>4921</v>
      </c>
      <c r="K2" s="3" t="s">
        <v>4925</v>
      </c>
      <c r="L2" s="3" t="s">
        <v>59</v>
      </c>
      <c r="M2" s="3" t="s">
        <v>4930</v>
      </c>
      <c r="N2" s="4" t="s">
        <v>83</v>
      </c>
    </row>
    <row r="3">
      <c r="A3" s="3" t="s">
        <v>4933</v>
      </c>
      <c r="B3" s="3" t="s">
        <v>4936</v>
      </c>
      <c r="C3" s="3" t="s">
        <v>4939</v>
      </c>
      <c r="D3" s="3" t="s">
        <v>4905</v>
      </c>
      <c r="E3" s="3" t="s">
        <v>131</v>
      </c>
      <c r="F3" s="3" t="s">
        <v>102</v>
      </c>
      <c r="G3" s="3" t="s">
        <v>4946</v>
      </c>
      <c r="H3" s="3" t="s">
        <v>4949</v>
      </c>
      <c r="I3" s="3" t="s">
        <v>4952</v>
      </c>
      <c r="J3" s="3" t="s">
        <v>4955</v>
      </c>
      <c r="K3" s="3" t="s">
        <v>4958</v>
      </c>
      <c r="L3" s="3" t="s">
        <v>59</v>
      </c>
      <c r="M3" s="3" t="s">
        <v>4970</v>
      </c>
      <c r="N3" s="4" t="s">
        <v>83</v>
      </c>
    </row>
    <row r="4">
      <c r="A4" s="3" t="s">
        <v>4975</v>
      </c>
      <c r="B4" s="3" t="s">
        <v>4978</v>
      </c>
      <c r="C4" s="3" t="s">
        <v>625</v>
      </c>
      <c r="D4" s="3" t="s">
        <v>4905</v>
      </c>
      <c r="E4" s="3" t="s">
        <v>63</v>
      </c>
      <c r="F4" s="3" t="s">
        <v>65</v>
      </c>
      <c r="G4" s="3" t="s">
        <v>4984</v>
      </c>
      <c r="H4" s="3" t="s">
        <v>4986</v>
      </c>
      <c r="I4" s="3" t="s">
        <v>4987</v>
      </c>
      <c r="J4" s="3" t="s">
        <v>4989</v>
      </c>
      <c r="K4" s="3" t="s">
        <v>4991</v>
      </c>
      <c r="L4" s="3" t="s">
        <v>59</v>
      </c>
      <c r="M4" s="3" t="s">
        <v>4993</v>
      </c>
      <c r="N4" s="4" t="s">
        <v>83</v>
      </c>
    </row>
    <row r="5">
      <c r="A5" s="3" t="s">
        <v>4994</v>
      </c>
      <c r="B5" s="3" t="s">
        <v>4995</v>
      </c>
      <c r="C5" s="3" t="s">
        <v>4996</v>
      </c>
      <c r="D5" s="3" t="s">
        <v>4997</v>
      </c>
      <c r="E5" s="3" t="s">
        <v>131</v>
      </c>
      <c r="F5" s="3" t="s">
        <v>102</v>
      </c>
      <c r="G5" s="3" t="s">
        <v>4998</v>
      </c>
      <c r="H5" s="3" t="s">
        <v>4999</v>
      </c>
      <c r="I5" s="3" t="s">
        <v>5000</v>
      </c>
      <c r="J5" s="3" t="s">
        <v>5001</v>
      </c>
      <c r="K5" s="3" t="s">
        <v>5002</v>
      </c>
      <c r="L5" s="3" t="s">
        <v>59</v>
      </c>
      <c r="M5" s="3" t="s">
        <v>5003</v>
      </c>
      <c r="N5" s="4" t="s">
        <v>83</v>
      </c>
    </row>
    <row r="6">
      <c r="A6" s="3" t="s">
        <v>5004</v>
      </c>
      <c r="B6" s="3" t="s">
        <v>3109</v>
      </c>
      <c r="C6" s="3" t="s">
        <v>5005</v>
      </c>
      <c r="D6" s="3" t="s">
        <v>4905</v>
      </c>
      <c r="E6" s="3" t="s">
        <v>131</v>
      </c>
      <c r="F6" s="3" t="s">
        <v>102</v>
      </c>
      <c r="G6" s="3" t="s">
        <v>5006</v>
      </c>
      <c r="H6" s="3" t="s">
        <v>5007</v>
      </c>
      <c r="I6" s="3" t="s">
        <v>5008</v>
      </c>
      <c r="J6" s="3" t="s">
        <v>5009</v>
      </c>
      <c r="K6" s="3" t="s">
        <v>5010</v>
      </c>
      <c r="L6" s="3" t="s">
        <v>59</v>
      </c>
      <c r="M6" s="3" t="s">
        <v>5012</v>
      </c>
      <c r="N6" s="4" t="s">
        <v>83</v>
      </c>
    </row>
    <row r="7">
      <c r="A7" s="3" t="s">
        <v>5013</v>
      </c>
      <c r="B7" s="3" t="s">
        <v>5015</v>
      </c>
      <c r="C7" s="3" t="s">
        <v>5017</v>
      </c>
      <c r="D7" s="3" t="s">
        <v>5019</v>
      </c>
      <c r="E7" s="3" t="s">
        <v>63</v>
      </c>
      <c r="F7" s="3" t="s">
        <v>65</v>
      </c>
      <c r="G7" s="3" t="s">
        <v>5024</v>
      </c>
      <c r="H7" s="3" t="s">
        <v>5027</v>
      </c>
      <c r="I7" s="3" t="s">
        <v>5029</v>
      </c>
      <c r="J7" s="3" t="s">
        <v>5031</v>
      </c>
      <c r="K7" s="3" t="s">
        <v>5033</v>
      </c>
      <c r="L7" s="3" t="s">
        <v>196</v>
      </c>
      <c r="M7" s="3" t="s">
        <v>5038</v>
      </c>
      <c r="N7" s="4" t="s">
        <v>83</v>
      </c>
    </row>
    <row r="8">
      <c r="A8" s="3" t="s">
        <v>5041</v>
      </c>
      <c r="B8" s="3" t="s">
        <v>5043</v>
      </c>
      <c r="C8" s="3" t="s">
        <v>5045</v>
      </c>
      <c r="D8" s="3" t="s">
        <v>840</v>
      </c>
      <c r="E8" s="3" t="s">
        <v>131</v>
      </c>
      <c r="F8" s="3" t="s">
        <v>122</v>
      </c>
      <c r="G8" s="3" t="s">
        <v>5053</v>
      </c>
      <c r="H8" s="3" t="s">
        <v>5054</v>
      </c>
      <c r="I8" s="3" t="s">
        <v>5057</v>
      </c>
      <c r="J8" s="3" t="s">
        <v>5061</v>
      </c>
      <c r="K8" s="3" t="s">
        <v>5064</v>
      </c>
      <c r="L8" s="3" t="s">
        <v>59</v>
      </c>
      <c r="M8" s="3" t="s">
        <v>5069</v>
      </c>
      <c r="N8" s="4" t="s">
        <v>83</v>
      </c>
    </row>
    <row r="9">
      <c r="A9" s="3" t="s">
        <v>5074</v>
      </c>
      <c r="B9" s="3" t="s">
        <v>5076</v>
      </c>
      <c r="C9" s="3" t="s">
        <v>5079</v>
      </c>
      <c r="D9" s="3" t="s">
        <v>840</v>
      </c>
      <c r="E9" s="3" t="s">
        <v>131</v>
      </c>
      <c r="F9" s="3" t="s">
        <v>122</v>
      </c>
      <c r="G9" s="3" t="s">
        <v>5084</v>
      </c>
      <c r="H9" s="3" t="s">
        <v>5054</v>
      </c>
      <c r="I9" s="3" t="s">
        <v>5088</v>
      </c>
      <c r="J9" s="3" t="s">
        <v>5093</v>
      </c>
      <c r="K9" s="3" t="s">
        <v>5096</v>
      </c>
      <c r="L9" s="3" t="s">
        <v>59</v>
      </c>
      <c r="M9" s="3" t="s">
        <v>5099</v>
      </c>
      <c r="N9" s="4" t="s">
        <v>83</v>
      </c>
    </row>
    <row r="10">
      <c r="A10" s="3" t="s">
        <v>5102</v>
      </c>
      <c r="B10" s="3" t="s">
        <v>5104</v>
      </c>
      <c r="C10" s="3" t="s">
        <v>5107</v>
      </c>
      <c r="D10" s="3" t="s">
        <v>4905</v>
      </c>
      <c r="E10" s="3" t="s">
        <v>63</v>
      </c>
      <c r="F10" s="3" t="s">
        <v>78</v>
      </c>
      <c r="G10" s="3" t="s">
        <v>5113</v>
      </c>
      <c r="H10" s="3" t="s">
        <v>5116</v>
      </c>
      <c r="I10" s="3" t="s">
        <v>5118</v>
      </c>
      <c r="J10" s="3" t="s">
        <v>5121</v>
      </c>
      <c r="K10" s="3" t="s">
        <v>5124</v>
      </c>
      <c r="L10" s="3" t="s">
        <v>59</v>
      </c>
      <c r="M10" s="3" t="s">
        <v>5129</v>
      </c>
      <c r="N10" s="4" t="s">
        <v>83</v>
      </c>
    </row>
    <row r="11">
      <c r="A11" s="3" t="s">
        <v>5132</v>
      </c>
      <c r="B11" s="3" t="s">
        <v>5135</v>
      </c>
      <c r="C11" s="3" t="s">
        <v>5137</v>
      </c>
      <c r="D11" s="3" t="s">
        <v>4905</v>
      </c>
      <c r="E11" s="3" t="s">
        <v>63</v>
      </c>
      <c r="F11" s="3" t="s">
        <v>102</v>
      </c>
      <c r="G11" s="3" t="s">
        <v>5146</v>
      </c>
      <c r="H11" s="3" t="s">
        <v>5149</v>
      </c>
      <c r="I11" s="3" t="s">
        <v>5153</v>
      </c>
      <c r="J11" s="3" t="s">
        <v>5155</v>
      </c>
      <c r="K11" s="3" t="s">
        <v>5162</v>
      </c>
      <c r="L11" s="3" t="s">
        <v>196</v>
      </c>
      <c r="M11" s="3" t="s">
        <v>5167</v>
      </c>
      <c r="N11" s="4" t="s">
        <v>83</v>
      </c>
    </row>
    <row r="12">
      <c r="A12" s="3" t="s">
        <v>5171</v>
      </c>
      <c r="B12" s="3" t="s">
        <v>5173</v>
      </c>
      <c r="C12" s="3" t="s">
        <v>973</v>
      </c>
      <c r="D12" s="3" t="s">
        <v>5177</v>
      </c>
      <c r="E12" s="3" t="s">
        <v>131</v>
      </c>
      <c r="F12" s="3" t="s">
        <v>65</v>
      </c>
      <c r="G12" s="3" t="s">
        <v>5181</v>
      </c>
      <c r="H12" s="3" t="s">
        <v>5184</v>
      </c>
      <c r="I12" s="3" t="s">
        <v>5186</v>
      </c>
      <c r="J12" s="3" t="s">
        <v>5188</v>
      </c>
      <c r="K12" s="3" t="s">
        <v>5190</v>
      </c>
      <c r="L12" s="3" t="s">
        <v>5193</v>
      </c>
      <c r="M12" s="3" t="s">
        <v>5195</v>
      </c>
      <c r="N12" s="4" t="s">
        <v>83</v>
      </c>
    </row>
    <row r="13">
      <c r="A13" s="3" t="s">
        <v>5198</v>
      </c>
      <c r="B13" s="3" t="s">
        <v>5199</v>
      </c>
      <c r="C13" s="3" t="s">
        <v>5200</v>
      </c>
      <c r="D13" s="3" t="s">
        <v>4905</v>
      </c>
      <c r="E13" s="3" t="s">
        <v>63</v>
      </c>
      <c r="F13" s="3" t="s">
        <v>65</v>
      </c>
      <c r="G13" s="3" t="s">
        <v>5204</v>
      </c>
      <c r="H13" s="3" t="s">
        <v>5205</v>
      </c>
      <c r="I13" s="3" t="s">
        <v>5207</v>
      </c>
      <c r="J13" s="3" t="s">
        <v>5210</v>
      </c>
      <c r="K13" s="3" t="s">
        <v>5213</v>
      </c>
      <c r="L13" s="3" t="s">
        <v>59</v>
      </c>
      <c r="M13" s="3" t="s">
        <v>5218</v>
      </c>
      <c r="N13" s="4" t="s">
        <v>83</v>
      </c>
    </row>
    <row r="14">
      <c r="A14" s="3" t="s">
        <v>5222</v>
      </c>
      <c r="B14" s="3" t="s">
        <v>2243</v>
      </c>
      <c r="C14" s="3" t="s">
        <v>1028</v>
      </c>
      <c r="D14" s="3" t="s">
        <v>256</v>
      </c>
      <c r="E14" s="3" t="s">
        <v>131</v>
      </c>
      <c r="F14" s="3" t="s">
        <v>5230</v>
      </c>
      <c r="G14" s="3" t="s">
        <v>5234</v>
      </c>
      <c r="H14" s="3" t="s">
        <v>5238</v>
      </c>
      <c r="I14" s="3" t="s">
        <v>5240</v>
      </c>
      <c r="J14" s="3" t="s">
        <v>5243</v>
      </c>
      <c r="K14" s="3" t="s">
        <v>5246</v>
      </c>
      <c r="L14" s="3" t="s">
        <v>196</v>
      </c>
      <c r="M14" s="3" t="s">
        <v>5250</v>
      </c>
      <c r="N14" s="4" t="s">
        <v>83</v>
      </c>
    </row>
    <row r="15">
      <c r="A15" s="3" t="s">
        <v>5256</v>
      </c>
      <c r="B15" s="3" t="s">
        <v>5258</v>
      </c>
      <c r="C15" s="3" t="s">
        <v>1049</v>
      </c>
      <c r="D15" s="3" t="s">
        <v>5260</v>
      </c>
      <c r="E15" s="3" t="s">
        <v>188</v>
      </c>
      <c r="F15" s="3" t="s">
        <v>65</v>
      </c>
      <c r="G15" s="3" t="s">
        <v>5264</v>
      </c>
      <c r="H15" s="3" t="s">
        <v>5268</v>
      </c>
      <c r="I15" s="3" t="s">
        <v>5270</v>
      </c>
      <c r="J15" s="3" t="s">
        <v>5273</v>
      </c>
      <c r="K15" s="3" t="s">
        <v>5276</v>
      </c>
      <c r="L15" s="3" t="s">
        <v>137</v>
      </c>
      <c r="M15" s="3" t="s">
        <v>5280</v>
      </c>
      <c r="N15" s="4" t="s">
        <v>83</v>
      </c>
    </row>
  </sheetData>
  <autoFilter ref="$A$1:$N$1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5497</v>
      </c>
      <c r="B1" s="2" t="s">
        <v>5503</v>
      </c>
      <c r="C1" s="2" t="s">
        <v>5505</v>
      </c>
      <c r="D1" s="2" t="s">
        <v>206</v>
      </c>
      <c r="E1" s="2" t="s">
        <v>5508</v>
      </c>
      <c r="F1" s="2" t="s">
        <v>207</v>
      </c>
      <c r="G1" s="2" t="s">
        <v>5512</v>
      </c>
      <c r="H1" s="2" t="s">
        <v>5516</v>
      </c>
      <c r="I1" s="2" t="s">
        <v>5525</v>
      </c>
      <c r="J1" s="2" t="s">
        <v>5529</v>
      </c>
    </row>
    <row r="2">
      <c r="A2" s="3" t="s">
        <v>5533</v>
      </c>
      <c r="B2" s="3" t="s">
        <v>5537</v>
      </c>
      <c r="C2" s="3" t="s">
        <v>5540</v>
      </c>
      <c r="D2" s="3" t="s">
        <v>5541</v>
      </c>
      <c r="E2" s="3" t="s">
        <v>5543</v>
      </c>
      <c r="F2" s="3" t="s">
        <v>5545</v>
      </c>
      <c r="G2" s="3" t="s">
        <v>5547</v>
      </c>
      <c r="H2" s="3" t="s">
        <v>5550</v>
      </c>
      <c r="I2" s="3" t="s">
        <v>5551</v>
      </c>
      <c r="J2" s="40" t="s">
        <v>1092</v>
      </c>
    </row>
    <row r="3">
      <c r="A3" s="3" t="s">
        <v>5606</v>
      </c>
      <c r="B3" s="3" t="s">
        <v>5607</v>
      </c>
      <c r="C3" s="3" t="s">
        <v>5610</v>
      </c>
      <c r="D3" s="3" t="s">
        <v>5612</v>
      </c>
      <c r="E3" s="3" t="s">
        <v>5543</v>
      </c>
      <c r="F3" s="3" t="s">
        <v>5616</v>
      </c>
      <c r="G3" s="3" t="s">
        <v>5618</v>
      </c>
      <c r="H3" s="3" t="s">
        <v>5620</v>
      </c>
      <c r="I3" s="3" t="s">
        <v>5621</v>
      </c>
      <c r="J3" s="40" t="s">
        <v>5624</v>
      </c>
    </row>
    <row r="4">
      <c r="A4" s="3" t="s">
        <v>5668</v>
      </c>
      <c r="B4" s="3" t="s">
        <v>5671</v>
      </c>
      <c r="C4" s="3" t="s">
        <v>5540</v>
      </c>
      <c r="D4" s="3" t="s">
        <v>5612</v>
      </c>
      <c r="E4" s="3" t="s">
        <v>5543</v>
      </c>
      <c r="F4" s="3" t="s">
        <v>5675</v>
      </c>
      <c r="G4" s="3" t="s">
        <v>5677</v>
      </c>
      <c r="H4" s="3" t="s">
        <v>5679</v>
      </c>
      <c r="I4" s="3" t="s">
        <v>5682</v>
      </c>
      <c r="J4" s="40" t="s">
        <v>1092</v>
      </c>
    </row>
    <row r="5">
      <c r="A5" s="3" t="s">
        <v>5687</v>
      </c>
      <c r="B5" s="3" t="s">
        <v>5688</v>
      </c>
      <c r="C5" s="3" t="s">
        <v>5540</v>
      </c>
      <c r="D5" s="3" t="s">
        <v>5612</v>
      </c>
      <c r="E5" s="3" t="s">
        <v>5689</v>
      </c>
      <c r="F5" s="3" t="s">
        <v>5690</v>
      </c>
      <c r="G5" s="3" t="s">
        <v>5692</v>
      </c>
      <c r="H5" s="3" t="s">
        <v>5694</v>
      </c>
      <c r="I5" s="3" t="s">
        <v>5695</v>
      </c>
      <c r="J5" s="40" t="s">
        <v>1092</v>
      </c>
    </row>
    <row r="6">
      <c r="A6" s="3" t="s">
        <v>5699</v>
      </c>
      <c r="B6" s="3" t="s">
        <v>5701</v>
      </c>
      <c r="C6" s="3" t="s">
        <v>5703</v>
      </c>
      <c r="D6" s="3" t="s">
        <v>5612</v>
      </c>
      <c r="E6" s="3" t="s">
        <v>5689</v>
      </c>
      <c r="F6" s="3" t="s">
        <v>5707</v>
      </c>
      <c r="G6" s="3" t="s">
        <v>5708</v>
      </c>
      <c r="H6" s="3" t="s">
        <v>5710</v>
      </c>
      <c r="I6" s="3" t="s">
        <v>5711</v>
      </c>
      <c r="J6" s="40" t="s">
        <v>1092</v>
      </c>
    </row>
    <row r="7">
      <c r="A7" s="3" t="s">
        <v>5715</v>
      </c>
      <c r="B7" s="3" t="s">
        <v>5717</v>
      </c>
      <c r="C7" s="3" t="s">
        <v>5703</v>
      </c>
      <c r="D7" s="3" t="s">
        <v>5612</v>
      </c>
      <c r="E7" s="3" t="s">
        <v>5689</v>
      </c>
      <c r="F7" s="3" t="s">
        <v>5720</v>
      </c>
      <c r="G7" s="3" t="s">
        <v>5722</v>
      </c>
      <c r="H7" s="3" t="s">
        <v>5724</v>
      </c>
      <c r="I7" s="3" t="s">
        <v>5726</v>
      </c>
      <c r="J7" s="40" t="s">
        <v>1092</v>
      </c>
    </row>
    <row r="8">
      <c r="A8" s="3" t="s">
        <v>5728</v>
      </c>
      <c r="B8" s="3" t="s">
        <v>5730</v>
      </c>
      <c r="C8" s="3" t="s">
        <v>5610</v>
      </c>
      <c r="D8" s="3" t="s">
        <v>5612</v>
      </c>
      <c r="E8" s="3" t="s">
        <v>5543</v>
      </c>
      <c r="F8" s="3" t="s">
        <v>5736</v>
      </c>
      <c r="G8" s="3" t="s">
        <v>5739</v>
      </c>
      <c r="H8" s="3" t="s">
        <v>5742</v>
      </c>
      <c r="I8" s="3" t="s">
        <v>5743</v>
      </c>
      <c r="J8" s="40" t="s">
        <v>1107</v>
      </c>
    </row>
    <row r="9">
      <c r="A9" s="3" t="s">
        <v>5758</v>
      </c>
      <c r="B9" s="3" t="s">
        <v>5759</v>
      </c>
      <c r="C9" s="3" t="s">
        <v>5610</v>
      </c>
      <c r="D9" s="3" t="s">
        <v>5612</v>
      </c>
      <c r="E9" s="3" t="s">
        <v>5543</v>
      </c>
      <c r="F9" s="3" t="s">
        <v>5763</v>
      </c>
      <c r="G9" s="3" t="s">
        <v>5766</v>
      </c>
      <c r="H9" s="3" t="s">
        <v>5768</v>
      </c>
      <c r="I9" s="3" t="s">
        <v>5770</v>
      </c>
      <c r="J9" s="40" t="s">
        <v>5624</v>
      </c>
    </row>
    <row r="10">
      <c r="A10" s="3" t="s">
        <v>5773</v>
      </c>
      <c r="B10" s="3" t="s">
        <v>5775</v>
      </c>
      <c r="C10" s="3" t="s">
        <v>5610</v>
      </c>
      <c r="D10" s="3" t="s">
        <v>5612</v>
      </c>
      <c r="E10" s="3" t="s">
        <v>5543</v>
      </c>
      <c r="F10" s="3" t="s">
        <v>5783</v>
      </c>
      <c r="G10" s="3" t="s">
        <v>5785</v>
      </c>
      <c r="H10" s="3" t="s">
        <v>5786</v>
      </c>
      <c r="I10" s="3" t="s">
        <v>5790</v>
      </c>
      <c r="J10" s="40" t="s">
        <v>5624</v>
      </c>
    </row>
    <row r="11">
      <c r="A11" s="3" t="s">
        <v>5795</v>
      </c>
      <c r="B11" s="3" t="s">
        <v>5798</v>
      </c>
      <c r="C11" s="3" t="s">
        <v>5610</v>
      </c>
      <c r="D11" s="3" t="s">
        <v>5612</v>
      </c>
      <c r="E11" s="3" t="s">
        <v>5543</v>
      </c>
      <c r="F11" s="3" t="s">
        <v>5805</v>
      </c>
      <c r="G11" s="3" t="s">
        <v>5808</v>
      </c>
      <c r="H11" s="3" t="s">
        <v>5811</v>
      </c>
      <c r="I11" s="3" t="s">
        <v>5814</v>
      </c>
      <c r="J11" s="40" t="s">
        <v>5624</v>
      </c>
    </row>
    <row r="12">
      <c r="A12" s="3" t="s">
        <v>5821</v>
      </c>
      <c r="B12" s="3" t="s">
        <v>5824</v>
      </c>
      <c r="C12" s="3" t="s">
        <v>5610</v>
      </c>
      <c r="D12" s="3" t="s">
        <v>5612</v>
      </c>
      <c r="E12" s="3" t="s">
        <v>5543</v>
      </c>
      <c r="F12" s="3" t="s">
        <v>5832</v>
      </c>
      <c r="G12" s="3" t="s">
        <v>5835</v>
      </c>
      <c r="H12" s="3" t="s">
        <v>5837</v>
      </c>
      <c r="I12" s="3" t="s">
        <v>5840</v>
      </c>
      <c r="J12" s="40" t="s">
        <v>5624</v>
      </c>
    </row>
    <row r="13">
      <c r="A13" s="3" t="s">
        <v>5846</v>
      </c>
      <c r="B13" s="3" t="s">
        <v>5847</v>
      </c>
      <c r="C13" s="3" t="s">
        <v>5703</v>
      </c>
      <c r="D13" s="3" t="s">
        <v>5612</v>
      </c>
      <c r="E13" s="3" t="s">
        <v>5543</v>
      </c>
      <c r="F13" s="3" t="s">
        <v>5856</v>
      </c>
      <c r="G13" s="3" t="s">
        <v>5858</v>
      </c>
      <c r="H13" s="3" t="s">
        <v>5860</v>
      </c>
      <c r="I13" s="3" t="s">
        <v>5861</v>
      </c>
      <c r="J13" s="40" t="s">
        <v>1107</v>
      </c>
    </row>
    <row r="14">
      <c r="A14" s="3" t="s">
        <v>5866</v>
      </c>
      <c r="B14" s="3" t="s">
        <v>383</v>
      </c>
      <c r="C14" s="3" t="s">
        <v>5870</v>
      </c>
      <c r="D14" s="3" t="s">
        <v>5872</v>
      </c>
      <c r="E14" s="3" t="s">
        <v>5543</v>
      </c>
      <c r="F14" s="3" t="s">
        <v>5876</v>
      </c>
      <c r="G14" s="3" t="s">
        <v>5879</v>
      </c>
      <c r="H14" s="3" t="s">
        <v>5882</v>
      </c>
      <c r="I14" s="3" t="s">
        <v>5883</v>
      </c>
      <c r="J14" s="40" t="s">
        <v>1092</v>
      </c>
    </row>
    <row r="15">
      <c r="A15" s="3" t="s">
        <v>5888</v>
      </c>
      <c r="B15" s="3" t="s">
        <v>5891</v>
      </c>
      <c r="C15" s="3" t="s">
        <v>5870</v>
      </c>
      <c r="D15" s="3" t="s">
        <v>5872</v>
      </c>
      <c r="E15" s="3" t="s">
        <v>5543</v>
      </c>
      <c r="F15" s="3" t="s">
        <v>5896</v>
      </c>
      <c r="G15" s="3" t="s">
        <v>5899</v>
      </c>
      <c r="H15" s="3" t="s">
        <v>5902</v>
      </c>
      <c r="I15" s="3" t="s">
        <v>5903</v>
      </c>
      <c r="J15" s="40" t="s">
        <v>1166</v>
      </c>
    </row>
    <row r="16">
      <c r="A16" s="3" t="s">
        <v>5961</v>
      </c>
      <c r="B16" s="3" t="s">
        <v>5963</v>
      </c>
      <c r="C16" s="3" t="s">
        <v>5703</v>
      </c>
      <c r="D16" s="3" t="s">
        <v>5541</v>
      </c>
      <c r="E16" s="3" t="s">
        <v>5543</v>
      </c>
      <c r="F16" s="3" t="s">
        <v>5971</v>
      </c>
      <c r="G16" s="3" t="s">
        <v>5972</v>
      </c>
      <c r="H16" s="3" t="s">
        <v>5975</v>
      </c>
      <c r="I16" s="3" t="s">
        <v>5978</v>
      </c>
      <c r="J16" s="40" t="s">
        <v>5624</v>
      </c>
    </row>
    <row r="17">
      <c r="A17" s="3" t="s">
        <v>5985</v>
      </c>
      <c r="B17" s="3" t="s">
        <v>5989</v>
      </c>
      <c r="C17" s="3" t="s">
        <v>5610</v>
      </c>
      <c r="D17" s="3" t="s">
        <v>5541</v>
      </c>
      <c r="E17" s="3" t="s">
        <v>5543</v>
      </c>
      <c r="F17" s="3" t="s">
        <v>5996</v>
      </c>
      <c r="G17" s="3" t="s">
        <v>5998</v>
      </c>
      <c r="H17" s="3" t="s">
        <v>6001</v>
      </c>
      <c r="I17" s="3" t="s">
        <v>6004</v>
      </c>
      <c r="J17" s="40" t="s">
        <v>5624</v>
      </c>
    </row>
    <row r="18">
      <c r="A18" s="3" t="s">
        <v>6010</v>
      </c>
      <c r="B18" s="3" t="s">
        <v>6012</v>
      </c>
      <c r="C18" s="3" t="s">
        <v>5703</v>
      </c>
      <c r="D18" s="3" t="s">
        <v>5612</v>
      </c>
      <c r="E18" s="3" t="s">
        <v>5543</v>
      </c>
      <c r="F18" s="3" t="s">
        <v>6020</v>
      </c>
      <c r="G18" s="3" t="s">
        <v>6022</v>
      </c>
      <c r="H18" s="3" t="s">
        <v>6024</v>
      </c>
      <c r="I18" s="3" t="s">
        <v>6027</v>
      </c>
      <c r="J18" s="40" t="s">
        <v>1092</v>
      </c>
    </row>
    <row r="19">
      <c r="A19" s="3" t="s">
        <v>6030</v>
      </c>
      <c r="B19" s="3" t="s">
        <v>6032</v>
      </c>
      <c r="C19" s="3" t="s">
        <v>5703</v>
      </c>
      <c r="D19" s="3" t="s">
        <v>5612</v>
      </c>
      <c r="E19" s="3" t="s">
        <v>5543</v>
      </c>
      <c r="F19" s="3" t="s">
        <v>6035</v>
      </c>
      <c r="G19" s="3" t="s">
        <v>6036</v>
      </c>
      <c r="H19" s="3" t="s">
        <v>6037</v>
      </c>
      <c r="I19" s="3" t="s">
        <v>6039</v>
      </c>
      <c r="J19" s="40" t="s">
        <v>1092</v>
      </c>
    </row>
    <row r="20">
      <c r="A20" s="3" t="s">
        <v>6043</v>
      </c>
      <c r="B20" s="3" t="s">
        <v>6045</v>
      </c>
      <c r="C20" s="3" t="s">
        <v>5610</v>
      </c>
      <c r="D20" s="3" t="s">
        <v>5612</v>
      </c>
      <c r="E20" s="3" t="s">
        <v>6048</v>
      </c>
      <c r="F20" s="3" t="s">
        <v>6049</v>
      </c>
      <c r="G20" s="3" t="s">
        <v>6051</v>
      </c>
      <c r="H20" s="3" t="s">
        <v>6052</v>
      </c>
      <c r="I20" s="3" t="s">
        <v>6053</v>
      </c>
      <c r="J20" s="40" t="s">
        <v>1092</v>
      </c>
    </row>
    <row r="21">
      <c r="A21" s="3" t="s">
        <v>6055</v>
      </c>
      <c r="B21" s="3" t="s">
        <v>6058</v>
      </c>
      <c r="C21" s="3" t="s">
        <v>5703</v>
      </c>
      <c r="D21" s="3" t="s">
        <v>5612</v>
      </c>
      <c r="E21" s="3" t="s">
        <v>5543</v>
      </c>
      <c r="F21" s="3" t="s">
        <v>6062</v>
      </c>
      <c r="G21" s="3" t="s">
        <v>6066</v>
      </c>
      <c r="H21" s="3" t="s">
        <v>6067</v>
      </c>
      <c r="I21" s="3" t="s">
        <v>6070</v>
      </c>
      <c r="J21" s="40" t="s">
        <v>1166</v>
      </c>
    </row>
    <row r="22">
      <c r="A22" s="3" t="s">
        <v>6074</v>
      </c>
      <c r="B22" s="3" t="s">
        <v>6077</v>
      </c>
      <c r="C22" s="3" t="s">
        <v>5703</v>
      </c>
      <c r="D22" s="3" t="s">
        <v>5612</v>
      </c>
      <c r="E22" s="3" t="s">
        <v>5543</v>
      </c>
      <c r="F22" s="3" t="s">
        <v>6085</v>
      </c>
      <c r="G22" s="3" t="s">
        <v>6066</v>
      </c>
      <c r="H22" s="3" t="s">
        <v>6067</v>
      </c>
      <c r="I22" s="3" t="s">
        <v>6090</v>
      </c>
      <c r="J22" s="40" t="s">
        <v>1166</v>
      </c>
    </row>
    <row r="23">
      <c r="A23" s="3" t="s">
        <v>6094</v>
      </c>
      <c r="B23" s="3" t="s">
        <v>6096</v>
      </c>
      <c r="C23" s="3" t="s">
        <v>6098</v>
      </c>
      <c r="D23" s="3" t="s">
        <v>5612</v>
      </c>
      <c r="E23" s="3" t="s">
        <v>6101</v>
      </c>
      <c r="F23" s="3" t="s">
        <v>6103</v>
      </c>
      <c r="G23" s="3" t="s">
        <v>6106</v>
      </c>
      <c r="H23" s="3" t="s">
        <v>6110</v>
      </c>
      <c r="I23" s="3" t="s">
        <v>6113</v>
      </c>
      <c r="J23" s="40" t="s">
        <v>5624</v>
      </c>
    </row>
    <row r="24">
      <c r="A24" s="3" t="s">
        <v>6117</v>
      </c>
      <c r="B24" s="3" t="s">
        <v>6119</v>
      </c>
      <c r="C24" s="3" t="s">
        <v>6098</v>
      </c>
      <c r="D24" s="3" t="s">
        <v>5612</v>
      </c>
      <c r="E24" s="3" t="s">
        <v>5543</v>
      </c>
      <c r="F24" s="3" t="s">
        <v>6122</v>
      </c>
      <c r="G24" s="3" t="s">
        <v>6124</v>
      </c>
      <c r="H24" s="3" t="s">
        <v>6126</v>
      </c>
      <c r="I24" s="3" t="s">
        <v>6129</v>
      </c>
      <c r="J24" s="40" t="s">
        <v>5624</v>
      </c>
    </row>
    <row r="25">
      <c r="A25" s="3" t="s">
        <v>6133</v>
      </c>
      <c r="B25" s="3" t="s">
        <v>6136</v>
      </c>
      <c r="C25" s="3" t="s">
        <v>6138</v>
      </c>
      <c r="D25" s="3" t="s">
        <v>6140</v>
      </c>
      <c r="E25" s="3" t="s">
        <v>6101</v>
      </c>
      <c r="F25" s="3" t="s">
        <v>6142</v>
      </c>
      <c r="G25" s="3" t="s">
        <v>6144</v>
      </c>
      <c r="H25" s="3" t="s">
        <v>6145</v>
      </c>
      <c r="I25" s="3" t="s">
        <v>6146</v>
      </c>
      <c r="J25" s="40" t="s">
        <v>1092</v>
      </c>
    </row>
    <row r="26">
      <c r="A26" s="3" t="s">
        <v>6150</v>
      </c>
      <c r="B26" s="3" t="s">
        <v>6151</v>
      </c>
      <c r="C26" s="3" t="s">
        <v>6138</v>
      </c>
      <c r="D26" s="3" t="s">
        <v>6140</v>
      </c>
      <c r="E26" s="3" t="s">
        <v>5543</v>
      </c>
      <c r="F26" s="3" t="s">
        <v>6156</v>
      </c>
      <c r="G26" s="3" t="s">
        <v>6158</v>
      </c>
      <c r="H26" s="3" t="s">
        <v>6159</v>
      </c>
      <c r="I26" s="3" t="s">
        <v>6161</v>
      </c>
      <c r="J26" s="40" t="s">
        <v>5624</v>
      </c>
    </row>
    <row r="27">
      <c r="A27" s="3" t="s">
        <v>6166</v>
      </c>
      <c r="B27" s="3" t="s">
        <v>6169</v>
      </c>
      <c r="C27" s="3" t="s">
        <v>5703</v>
      </c>
      <c r="D27" s="3" t="s">
        <v>5612</v>
      </c>
      <c r="E27" s="3" t="s">
        <v>6176</v>
      </c>
      <c r="F27" s="3" t="s">
        <v>6179</v>
      </c>
      <c r="G27" s="3" t="s">
        <v>6181</v>
      </c>
      <c r="H27" s="3" t="s">
        <v>6184</v>
      </c>
      <c r="I27" s="3" t="s">
        <v>6185</v>
      </c>
      <c r="J27" s="40" t="s">
        <v>5624</v>
      </c>
    </row>
    <row r="28">
      <c r="A28" s="3" t="s">
        <v>6190</v>
      </c>
      <c r="B28" s="3" t="s">
        <v>6193</v>
      </c>
      <c r="C28" s="3" t="s">
        <v>5703</v>
      </c>
      <c r="D28" s="3" t="s">
        <v>5612</v>
      </c>
      <c r="E28" s="3" t="s">
        <v>6048</v>
      </c>
      <c r="F28" s="3" t="s">
        <v>6197</v>
      </c>
      <c r="G28" s="3" t="s">
        <v>1790</v>
      </c>
      <c r="H28" s="3" t="s">
        <v>6201</v>
      </c>
      <c r="I28" s="3" t="s">
        <v>6203</v>
      </c>
      <c r="J28" s="40" t="s">
        <v>5624</v>
      </c>
    </row>
    <row r="29">
      <c r="A29" s="3" t="s">
        <v>6207</v>
      </c>
      <c r="B29" s="3" t="s">
        <v>6210</v>
      </c>
      <c r="C29" s="3" t="s">
        <v>5703</v>
      </c>
      <c r="D29" s="3" t="s">
        <v>5612</v>
      </c>
      <c r="E29" s="3" t="s">
        <v>5543</v>
      </c>
      <c r="F29" s="3" t="s">
        <v>6218</v>
      </c>
      <c r="G29" s="3" t="s">
        <v>6220</v>
      </c>
      <c r="H29" s="3" t="s">
        <v>6222</v>
      </c>
      <c r="I29" s="3" t="s">
        <v>6225</v>
      </c>
      <c r="J29" s="40" t="s">
        <v>1092</v>
      </c>
    </row>
    <row r="30">
      <c r="A30" s="3" t="s">
        <v>6228</v>
      </c>
      <c r="B30" s="3" t="s">
        <v>6230</v>
      </c>
      <c r="C30" s="3" t="s">
        <v>5703</v>
      </c>
      <c r="D30" s="3" t="s">
        <v>5612</v>
      </c>
      <c r="E30" s="3" t="s">
        <v>6176</v>
      </c>
      <c r="F30" s="3" t="s">
        <v>6232</v>
      </c>
      <c r="G30" s="3" t="s">
        <v>6233</v>
      </c>
      <c r="H30" s="3" t="s">
        <v>6234</v>
      </c>
      <c r="I30" s="3" t="s">
        <v>6235</v>
      </c>
      <c r="J30" s="40" t="s">
        <v>1166</v>
      </c>
    </row>
    <row r="31">
      <c r="A31" s="3" t="s">
        <v>6236</v>
      </c>
      <c r="B31" s="3" t="s">
        <v>6237</v>
      </c>
      <c r="C31" s="3" t="s">
        <v>5703</v>
      </c>
      <c r="D31" s="3" t="s">
        <v>5612</v>
      </c>
      <c r="E31" s="3" t="s">
        <v>5543</v>
      </c>
      <c r="F31" s="3" t="s">
        <v>6238</v>
      </c>
      <c r="G31" s="3" t="s">
        <v>6239</v>
      </c>
      <c r="H31" s="3" t="s">
        <v>6240</v>
      </c>
      <c r="I31" s="3" t="s">
        <v>6241</v>
      </c>
      <c r="J31" s="40" t="s">
        <v>1107</v>
      </c>
    </row>
    <row r="32">
      <c r="A32" s="3" t="s">
        <v>6242</v>
      </c>
      <c r="B32" s="3" t="s">
        <v>6243</v>
      </c>
      <c r="C32" s="3" t="s">
        <v>6244</v>
      </c>
      <c r="D32" s="3" t="s">
        <v>5612</v>
      </c>
      <c r="E32" s="3" t="s">
        <v>5543</v>
      </c>
      <c r="F32" s="3" t="s">
        <v>6245</v>
      </c>
      <c r="G32" s="3" t="s">
        <v>6246</v>
      </c>
      <c r="H32" s="3" t="s">
        <v>6247</v>
      </c>
      <c r="I32" s="3" t="s">
        <v>6248</v>
      </c>
      <c r="J32" s="40" t="s">
        <v>1214</v>
      </c>
    </row>
    <row r="33">
      <c r="A33" s="3" t="s">
        <v>6254</v>
      </c>
      <c r="B33" s="3" t="s">
        <v>6255</v>
      </c>
      <c r="C33" s="3" t="s">
        <v>5703</v>
      </c>
      <c r="D33" s="3" t="s">
        <v>5612</v>
      </c>
      <c r="E33" s="3" t="s">
        <v>5543</v>
      </c>
      <c r="F33" s="3" t="s">
        <v>6256</v>
      </c>
      <c r="G33" s="3" t="s">
        <v>6257</v>
      </c>
      <c r="H33" s="3" t="s">
        <v>6258</v>
      </c>
      <c r="I33" s="3" t="s">
        <v>6259</v>
      </c>
      <c r="J33" s="40" t="s">
        <v>1214</v>
      </c>
    </row>
    <row r="34">
      <c r="A34" s="3" t="s">
        <v>6260</v>
      </c>
      <c r="B34" s="3" t="s">
        <v>6261</v>
      </c>
      <c r="C34" s="3" t="s">
        <v>5703</v>
      </c>
      <c r="D34" s="3" t="s">
        <v>5612</v>
      </c>
      <c r="E34" s="3" t="s">
        <v>5543</v>
      </c>
      <c r="F34" s="3" t="s">
        <v>6262</v>
      </c>
      <c r="G34" s="3" t="s">
        <v>6263</v>
      </c>
      <c r="H34" s="3" t="s">
        <v>6264</v>
      </c>
      <c r="I34" s="3" t="s">
        <v>6265</v>
      </c>
      <c r="J34" s="40" t="s">
        <v>1214</v>
      </c>
    </row>
  </sheetData>
  <autoFilter ref="$A$1:$J$31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</hyperlinks>
  <drawing r:id="rId3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5755</v>
      </c>
      <c r="B1" s="2" t="s">
        <v>1101</v>
      </c>
      <c r="C1" s="2" t="s">
        <v>5761</v>
      </c>
      <c r="D1" s="2" t="s">
        <v>1108</v>
      </c>
      <c r="E1" s="2" t="s">
        <v>5764</v>
      </c>
      <c r="F1" s="2" t="s">
        <v>1114</v>
      </c>
      <c r="G1" s="2" t="s">
        <v>5769</v>
      </c>
      <c r="H1" s="2" t="s">
        <v>5771</v>
      </c>
      <c r="I1" s="2" t="s">
        <v>5772</v>
      </c>
      <c r="J1" s="2" t="s">
        <v>413</v>
      </c>
      <c r="K1" s="2" t="s">
        <v>5774</v>
      </c>
      <c r="L1" s="2" t="s">
        <v>5777</v>
      </c>
      <c r="M1" s="2" t="s">
        <v>5780</v>
      </c>
      <c r="N1" s="2" t="s">
        <v>5784</v>
      </c>
    </row>
    <row r="2">
      <c r="A2" s="3" t="s">
        <v>5787</v>
      </c>
      <c r="B2" s="3" t="s">
        <v>1138</v>
      </c>
      <c r="C2" s="3" t="s">
        <v>5791</v>
      </c>
      <c r="D2" s="3" t="s">
        <v>1141</v>
      </c>
      <c r="E2" s="3" t="s">
        <v>5794</v>
      </c>
      <c r="F2" s="3" t="s">
        <v>1146</v>
      </c>
      <c r="G2" s="3" t="s">
        <v>5800</v>
      </c>
      <c r="H2" s="3" t="s">
        <v>5802</v>
      </c>
      <c r="I2" s="3" t="s">
        <v>187</v>
      </c>
      <c r="J2" s="3" t="s">
        <v>5806</v>
      </c>
      <c r="K2" s="3" t="s">
        <v>5809</v>
      </c>
      <c r="L2" s="3" t="s">
        <v>5812</v>
      </c>
      <c r="M2" s="3" t="s">
        <v>5815</v>
      </c>
      <c r="N2" s="3" t="s">
        <v>5818</v>
      </c>
    </row>
    <row r="3">
      <c r="A3" s="3" t="s">
        <v>5820</v>
      </c>
      <c r="B3" s="3" t="s">
        <v>1666</v>
      </c>
      <c r="C3" s="3" t="s">
        <v>5825</v>
      </c>
      <c r="D3" s="3" t="s">
        <v>1184</v>
      </c>
      <c r="E3" s="3" t="s">
        <v>5827</v>
      </c>
      <c r="F3" s="3" t="s">
        <v>1146</v>
      </c>
      <c r="G3" s="3" t="s">
        <v>5829</v>
      </c>
      <c r="H3" s="3" t="s">
        <v>5802</v>
      </c>
      <c r="I3" s="3" t="s">
        <v>187</v>
      </c>
      <c r="J3" s="3" t="s">
        <v>5806</v>
      </c>
      <c r="K3" s="3" t="s">
        <v>5809</v>
      </c>
      <c r="L3" s="3" t="s">
        <v>5841</v>
      </c>
      <c r="M3" s="3" t="s">
        <v>5844</v>
      </c>
      <c r="N3" s="3" t="s">
        <v>5818</v>
      </c>
    </row>
    <row r="4">
      <c r="A4" s="3" t="s">
        <v>5845</v>
      </c>
      <c r="B4" s="3" t="s">
        <v>1721</v>
      </c>
      <c r="C4" s="3" t="s">
        <v>5848</v>
      </c>
      <c r="D4" s="3" t="s">
        <v>1126</v>
      </c>
      <c r="E4" s="3" t="s">
        <v>5851</v>
      </c>
      <c r="F4" s="3" t="s">
        <v>1241</v>
      </c>
      <c r="G4" s="3" t="s">
        <v>5853</v>
      </c>
      <c r="H4" s="3" t="s">
        <v>5802</v>
      </c>
      <c r="I4" s="3" t="s">
        <v>187</v>
      </c>
      <c r="J4" s="3" t="s">
        <v>5806</v>
      </c>
      <c r="K4" s="3" t="s">
        <v>5809</v>
      </c>
      <c r="L4" s="3" t="s">
        <v>5841</v>
      </c>
      <c r="M4" s="3" t="s">
        <v>5873</v>
      </c>
      <c r="N4" s="3" t="s">
        <v>5818</v>
      </c>
    </row>
    <row r="5">
      <c r="A5" s="3" t="s">
        <v>5877</v>
      </c>
      <c r="B5" s="3" t="s">
        <v>1195</v>
      </c>
      <c r="C5" s="3" t="s">
        <v>1196</v>
      </c>
      <c r="D5" s="3" t="s">
        <v>1197</v>
      </c>
      <c r="E5" s="3" t="s">
        <v>5885</v>
      </c>
      <c r="F5" s="3" t="s">
        <v>1146</v>
      </c>
      <c r="G5" s="3" t="s">
        <v>5890</v>
      </c>
      <c r="H5" s="3" t="s">
        <v>5802</v>
      </c>
      <c r="I5" s="3" t="s">
        <v>187</v>
      </c>
      <c r="J5" s="3" t="s">
        <v>5806</v>
      </c>
      <c r="K5" s="3" t="s">
        <v>5809</v>
      </c>
      <c r="L5" s="3" t="s">
        <v>5898</v>
      </c>
      <c r="M5" s="3" t="s">
        <v>5901</v>
      </c>
      <c r="N5" s="3" t="s">
        <v>5818</v>
      </c>
    </row>
    <row r="6">
      <c r="A6" s="3" t="s">
        <v>5905</v>
      </c>
      <c r="B6" s="3" t="s">
        <v>1216</v>
      </c>
      <c r="C6" s="3" t="s">
        <v>5908</v>
      </c>
      <c r="D6" s="3" t="s">
        <v>5911</v>
      </c>
      <c r="E6" s="3" t="s">
        <v>5914</v>
      </c>
      <c r="F6" s="3" t="s">
        <v>1146</v>
      </c>
      <c r="G6" s="3" t="s">
        <v>5919</v>
      </c>
      <c r="H6" s="3" t="s">
        <v>5802</v>
      </c>
      <c r="I6" s="3" t="s">
        <v>187</v>
      </c>
      <c r="J6" s="3" t="s">
        <v>5806</v>
      </c>
      <c r="K6" s="3" t="s">
        <v>5809</v>
      </c>
      <c r="L6" s="3" t="s">
        <v>5924</v>
      </c>
      <c r="M6" s="3" t="s">
        <v>5927</v>
      </c>
      <c r="N6" s="3" t="s">
        <v>5818</v>
      </c>
    </row>
    <row r="7">
      <c r="A7" s="3" t="s">
        <v>5930</v>
      </c>
      <c r="B7" s="3" t="s">
        <v>1285</v>
      </c>
      <c r="C7" s="3" t="s">
        <v>5932</v>
      </c>
      <c r="D7" s="3" t="s">
        <v>1126</v>
      </c>
      <c r="E7" s="3" t="s">
        <v>5935</v>
      </c>
      <c r="F7" s="3" t="s">
        <v>1289</v>
      </c>
      <c r="G7" s="3" t="s">
        <v>5939</v>
      </c>
      <c r="H7" s="3" t="s">
        <v>5802</v>
      </c>
      <c r="I7" s="3" t="s">
        <v>187</v>
      </c>
      <c r="J7" s="3" t="s">
        <v>5806</v>
      </c>
      <c r="K7" s="3" t="s">
        <v>5809</v>
      </c>
      <c r="L7" s="3" t="s">
        <v>740</v>
      </c>
      <c r="M7" s="3" t="s">
        <v>5945</v>
      </c>
      <c r="N7" s="3" t="s">
        <v>5818</v>
      </c>
    </row>
    <row r="8">
      <c r="A8" s="3" t="s">
        <v>5948</v>
      </c>
      <c r="B8" s="3" t="s">
        <v>1741</v>
      </c>
      <c r="C8" s="3" t="s">
        <v>1743</v>
      </c>
      <c r="D8" s="3" t="s">
        <v>1745</v>
      </c>
      <c r="E8" s="3" t="s">
        <v>5957</v>
      </c>
      <c r="F8" s="3" t="s">
        <v>1146</v>
      </c>
      <c r="G8" s="3" t="s">
        <v>5959</v>
      </c>
      <c r="H8" s="3" t="s">
        <v>5802</v>
      </c>
      <c r="I8" s="3" t="s">
        <v>187</v>
      </c>
      <c r="J8" s="3" t="s">
        <v>5806</v>
      </c>
      <c r="K8" s="3" t="s">
        <v>5809</v>
      </c>
      <c r="L8" s="3" t="s">
        <v>5970</v>
      </c>
      <c r="M8" s="3" t="s">
        <v>5973</v>
      </c>
      <c r="N8" s="3" t="s">
        <v>5818</v>
      </c>
    </row>
    <row r="9">
      <c r="A9" s="3" t="s">
        <v>5979</v>
      </c>
      <c r="B9" s="3" t="s">
        <v>1294</v>
      </c>
      <c r="C9" s="3" t="s">
        <v>5984</v>
      </c>
      <c r="D9" s="3" t="s">
        <v>1126</v>
      </c>
      <c r="E9" s="3" t="s">
        <v>5987</v>
      </c>
      <c r="F9" s="3" t="s">
        <v>1289</v>
      </c>
      <c r="G9" s="3" t="s">
        <v>5991</v>
      </c>
      <c r="H9" s="3" t="s">
        <v>5802</v>
      </c>
      <c r="I9" s="3" t="s">
        <v>187</v>
      </c>
      <c r="J9" s="3" t="s">
        <v>5994</v>
      </c>
      <c r="K9" s="3" t="s">
        <v>5809</v>
      </c>
      <c r="L9" s="3" t="s">
        <v>84</v>
      </c>
      <c r="M9" s="3" t="s">
        <v>6002</v>
      </c>
      <c r="N9" s="3" t="s">
        <v>5818</v>
      </c>
    </row>
    <row r="10">
      <c r="A10" s="3" t="s">
        <v>6007</v>
      </c>
      <c r="B10" s="3" t="s">
        <v>1356</v>
      </c>
      <c r="C10" s="3" t="s">
        <v>1358</v>
      </c>
      <c r="D10" s="3" t="s">
        <v>1360</v>
      </c>
      <c r="E10" s="3" t="s">
        <v>6015</v>
      </c>
      <c r="F10" s="3" t="s">
        <v>1146</v>
      </c>
      <c r="G10" s="3" t="s">
        <v>6017</v>
      </c>
      <c r="H10" s="3" t="s">
        <v>5802</v>
      </c>
      <c r="I10" s="3" t="s">
        <v>187</v>
      </c>
      <c r="J10" s="3" t="s">
        <v>5994</v>
      </c>
      <c r="K10" s="3" t="s">
        <v>5809</v>
      </c>
      <c r="L10" s="3" t="s">
        <v>84</v>
      </c>
      <c r="M10" s="3" t="s">
        <v>6031</v>
      </c>
      <c r="N10" s="3" t="s">
        <v>5818</v>
      </c>
    </row>
    <row r="11">
      <c r="A11" s="3" t="s">
        <v>6034</v>
      </c>
      <c r="B11" s="3" t="s">
        <v>1376</v>
      </c>
      <c r="C11" s="3" t="s">
        <v>1378</v>
      </c>
      <c r="D11" s="3" t="s">
        <v>1219</v>
      </c>
      <c r="E11" s="3" t="s">
        <v>6041</v>
      </c>
      <c r="F11" s="3" t="s">
        <v>1146</v>
      </c>
      <c r="G11" s="3" t="s">
        <v>6044</v>
      </c>
      <c r="H11" s="3" t="s">
        <v>5802</v>
      </c>
      <c r="I11" s="3" t="s">
        <v>187</v>
      </c>
      <c r="J11" s="3" t="s">
        <v>5994</v>
      </c>
      <c r="K11" s="3" t="s">
        <v>5809</v>
      </c>
      <c r="L11" s="3" t="s">
        <v>3183</v>
      </c>
      <c r="M11" s="3" t="s">
        <v>6054</v>
      </c>
      <c r="N11" s="3" t="s">
        <v>5818</v>
      </c>
    </row>
    <row r="12">
      <c r="A12" s="3" t="s">
        <v>6056</v>
      </c>
      <c r="B12" s="3" t="s">
        <v>1393</v>
      </c>
      <c r="C12" s="3" t="s">
        <v>6060</v>
      </c>
      <c r="D12" s="3" t="s">
        <v>1126</v>
      </c>
      <c r="E12" s="3" t="s">
        <v>6063</v>
      </c>
      <c r="F12" s="3" t="s">
        <v>1241</v>
      </c>
      <c r="G12" s="3" t="s">
        <v>6064</v>
      </c>
      <c r="H12" s="3" t="s">
        <v>5802</v>
      </c>
      <c r="I12" s="3" t="s">
        <v>187</v>
      </c>
      <c r="J12" s="3" t="s">
        <v>6065</v>
      </c>
      <c r="K12" s="3" t="s">
        <v>5809</v>
      </c>
      <c r="L12" s="3" t="s">
        <v>916</v>
      </c>
      <c r="M12" s="3" t="s">
        <v>6069</v>
      </c>
      <c r="N12" s="3" t="s">
        <v>5818</v>
      </c>
    </row>
    <row r="13">
      <c r="A13" s="3" t="s">
        <v>6073</v>
      </c>
      <c r="B13" s="3" t="s">
        <v>1767</v>
      </c>
      <c r="C13" s="3" t="s">
        <v>1770</v>
      </c>
      <c r="D13" s="3" t="s">
        <v>1360</v>
      </c>
      <c r="E13" s="3" t="s">
        <v>6080</v>
      </c>
      <c r="F13" s="3" t="s">
        <v>1146</v>
      </c>
      <c r="G13" s="3" t="s">
        <v>6084</v>
      </c>
      <c r="H13" s="3" t="s">
        <v>5802</v>
      </c>
      <c r="I13" s="3" t="s">
        <v>187</v>
      </c>
      <c r="J13" s="3" t="s">
        <v>6091</v>
      </c>
      <c r="K13" s="3" t="s">
        <v>5809</v>
      </c>
      <c r="L13" s="3" t="s">
        <v>950</v>
      </c>
      <c r="M13" s="3" t="s">
        <v>6095</v>
      </c>
      <c r="N13" s="3" t="s">
        <v>5818</v>
      </c>
    </row>
    <row r="14">
      <c r="A14" s="3" t="s">
        <v>6099</v>
      </c>
      <c r="B14" s="3" t="s">
        <v>1432</v>
      </c>
      <c r="C14" s="3" t="s">
        <v>6107</v>
      </c>
      <c r="D14" s="3" t="s">
        <v>1184</v>
      </c>
      <c r="E14" s="3" t="s">
        <v>6111</v>
      </c>
      <c r="F14" s="3" t="s">
        <v>1146</v>
      </c>
      <c r="G14" s="3" t="s">
        <v>6115</v>
      </c>
      <c r="H14" s="3" t="s">
        <v>5802</v>
      </c>
      <c r="I14" s="3" t="s">
        <v>187</v>
      </c>
      <c r="J14" s="3" t="s">
        <v>6118</v>
      </c>
      <c r="K14" s="3" t="s">
        <v>5809</v>
      </c>
      <c r="L14" s="3" t="s">
        <v>107</v>
      </c>
      <c r="M14" s="3" t="s">
        <v>6123</v>
      </c>
      <c r="N14" s="3" t="s">
        <v>5818</v>
      </c>
    </row>
    <row r="15">
      <c r="A15" s="3" t="s">
        <v>6127</v>
      </c>
      <c r="B15" s="3" t="s">
        <v>1531</v>
      </c>
      <c r="C15" s="3" t="s">
        <v>6131</v>
      </c>
      <c r="D15" s="3" t="s">
        <v>1535</v>
      </c>
      <c r="E15" s="3" t="s">
        <v>6135</v>
      </c>
      <c r="F15" s="3" t="s">
        <v>1146</v>
      </c>
      <c r="G15" s="3" t="s">
        <v>6139</v>
      </c>
      <c r="H15" s="3" t="s">
        <v>5802</v>
      </c>
      <c r="I15" s="3" t="s">
        <v>187</v>
      </c>
      <c r="J15" s="3" t="s">
        <v>6143</v>
      </c>
      <c r="K15" s="3" t="s">
        <v>5809</v>
      </c>
      <c r="L15" s="3" t="s">
        <v>6147</v>
      </c>
      <c r="M15" s="3" t="s">
        <v>6149</v>
      </c>
      <c r="N15" s="3" t="s">
        <v>5818</v>
      </c>
    </row>
    <row r="16">
      <c r="A16" s="3" t="s">
        <v>6154</v>
      </c>
      <c r="B16" s="3" t="s">
        <v>1151</v>
      </c>
      <c r="C16" s="3" t="s">
        <v>6157</v>
      </c>
      <c r="D16" s="3" t="s">
        <v>1153</v>
      </c>
      <c r="E16" s="3" t="s">
        <v>6160</v>
      </c>
      <c r="F16" s="3" t="s">
        <v>2111</v>
      </c>
      <c r="G16" s="3" t="s">
        <v>6162</v>
      </c>
      <c r="H16" s="3" t="s">
        <v>5802</v>
      </c>
      <c r="I16" s="3" t="s">
        <v>187</v>
      </c>
      <c r="J16" s="3" t="s">
        <v>6167</v>
      </c>
      <c r="K16" s="3" t="s">
        <v>5809</v>
      </c>
      <c r="L16" s="3" t="s">
        <v>6172</v>
      </c>
      <c r="M16" s="3" t="s">
        <v>6174</v>
      </c>
      <c r="N16" s="3" t="s">
        <v>5818</v>
      </c>
    </row>
  </sheetData>
  <autoFilter ref="$A$1:$N$16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6155</v>
      </c>
      <c r="B1" s="2" t="s">
        <v>6163</v>
      </c>
      <c r="C1" s="2" t="s">
        <v>6165</v>
      </c>
      <c r="D1" s="2" t="s">
        <v>6170</v>
      </c>
      <c r="E1" s="2" t="s">
        <v>6173</v>
      </c>
      <c r="F1" s="2" t="s">
        <v>6177</v>
      </c>
      <c r="G1" s="2" t="s">
        <v>6180</v>
      </c>
      <c r="H1" s="2" t="s">
        <v>6183</v>
      </c>
      <c r="I1" s="2" t="s">
        <v>6186</v>
      </c>
      <c r="J1" s="2" t="s">
        <v>6188</v>
      </c>
      <c r="K1" s="2" t="s">
        <v>6192</v>
      </c>
    </row>
    <row r="2">
      <c r="A2" s="3" t="s">
        <v>6196</v>
      </c>
      <c r="B2" s="3" t="s">
        <v>6199</v>
      </c>
      <c r="C2" s="3" t="s">
        <v>6202</v>
      </c>
      <c r="D2" s="3" t="s">
        <v>4903</v>
      </c>
      <c r="E2" s="3" t="s">
        <v>6204</v>
      </c>
      <c r="F2" s="3" t="s">
        <v>6206</v>
      </c>
      <c r="G2" s="3" t="s">
        <v>6209</v>
      </c>
      <c r="H2" s="3" t="s">
        <v>6212</v>
      </c>
      <c r="I2" s="3" t="s">
        <v>6214</v>
      </c>
      <c r="J2" s="40" t="s">
        <v>6217</v>
      </c>
      <c r="K2" s="4" t="s">
        <v>83</v>
      </c>
    </row>
    <row r="3">
      <c r="A3" s="3" t="s">
        <v>6249</v>
      </c>
      <c r="B3" s="3" t="s">
        <v>6250</v>
      </c>
      <c r="C3" s="3" t="s">
        <v>1380</v>
      </c>
      <c r="D3" s="3" t="s">
        <v>625</v>
      </c>
      <c r="E3" s="3" t="s">
        <v>6204</v>
      </c>
      <c r="F3" s="3" t="s">
        <v>6206</v>
      </c>
      <c r="G3" s="3" t="s">
        <v>6251</v>
      </c>
      <c r="H3" s="3" t="s">
        <v>6212</v>
      </c>
      <c r="I3" s="3" t="s">
        <v>6252</v>
      </c>
      <c r="J3" s="40" t="s">
        <v>6253</v>
      </c>
      <c r="K3" s="4" t="s">
        <v>83</v>
      </c>
    </row>
    <row r="4">
      <c r="A4" s="3" t="s">
        <v>6277</v>
      </c>
      <c r="B4" s="3" t="s">
        <v>6279</v>
      </c>
      <c r="C4" s="3" t="s">
        <v>6280</v>
      </c>
      <c r="D4" s="3" t="s">
        <v>625</v>
      </c>
      <c r="E4" s="3" t="s">
        <v>6283</v>
      </c>
      <c r="F4" s="3" t="s">
        <v>6283</v>
      </c>
      <c r="G4" s="3" t="s">
        <v>6285</v>
      </c>
      <c r="H4" s="3" t="s">
        <v>6212</v>
      </c>
      <c r="I4" s="3" t="s">
        <v>6287</v>
      </c>
      <c r="J4" s="40" t="s">
        <v>6289</v>
      </c>
      <c r="K4" s="4" t="s">
        <v>83</v>
      </c>
    </row>
    <row r="5">
      <c r="A5" s="3" t="s">
        <v>6334</v>
      </c>
      <c r="B5" s="3" t="s">
        <v>6336</v>
      </c>
      <c r="C5" s="3" t="s">
        <v>6337</v>
      </c>
      <c r="D5" s="3" t="s">
        <v>5107</v>
      </c>
      <c r="E5" s="3" t="s">
        <v>6204</v>
      </c>
      <c r="F5" s="3" t="s">
        <v>6206</v>
      </c>
      <c r="G5" s="3" t="s">
        <v>6340</v>
      </c>
      <c r="H5" s="3" t="s">
        <v>6212</v>
      </c>
      <c r="I5" s="3" t="s">
        <v>6343</v>
      </c>
      <c r="J5" s="40" t="s">
        <v>6345</v>
      </c>
      <c r="K5" s="4" t="s">
        <v>83</v>
      </c>
    </row>
    <row r="6">
      <c r="A6" s="3" t="s">
        <v>6358</v>
      </c>
      <c r="B6" s="3" t="s">
        <v>6359</v>
      </c>
      <c r="C6" s="3" t="s">
        <v>6361</v>
      </c>
      <c r="D6" s="3" t="s">
        <v>5137</v>
      </c>
      <c r="E6" s="3" t="s">
        <v>6204</v>
      </c>
      <c r="F6" s="3" t="s">
        <v>6206</v>
      </c>
      <c r="G6" s="3" t="s">
        <v>6365</v>
      </c>
      <c r="H6" s="3" t="s">
        <v>6212</v>
      </c>
      <c r="I6" s="3" t="s">
        <v>6368</v>
      </c>
      <c r="J6" s="40" t="s">
        <v>6370</v>
      </c>
      <c r="K6" s="4" t="s">
        <v>83</v>
      </c>
    </row>
    <row r="7">
      <c r="A7" s="3" t="s">
        <v>6450</v>
      </c>
      <c r="B7" s="3" t="s">
        <v>6453</v>
      </c>
      <c r="C7" s="3" t="s">
        <v>6457</v>
      </c>
      <c r="D7" s="3" t="s">
        <v>625</v>
      </c>
      <c r="E7" s="3" t="s">
        <v>6283</v>
      </c>
      <c r="F7" s="3" t="s">
        <v>6283</v>
      </c>
      <c r="G7" s="3" t="s">
        <v>6468</v>
      </c>
      <c r="H7" s="3" t="s">
        <v>6212</v>
      </c>
      <c r="I7" s="3" t="s">
        <v>6471</v>
      </c>
      <c r="J7" s="40" t="s">
        <v>6481</v>
      </c>
      <c r="K7" s="4" t="s">
        <v>83</v>
      </c>
    </row>
    <row r="8">
      <c r="A8" s="3" t="s">
        <v>6552</v>
      </c>
      <c r="B8" s="3" t="s">
        <v>6555</v>
      </c>
      <c r="C8" s="3" t="s">
        <v>6558</v>
      </c>
      <c r="D8" s="3" t="s">
        <v>5200</v>
      </c>
      <c r="E8" s="3" t="s">
        <v>6283</v>
      </c>
      <c r="F8" s="3" t="s">
        <v>6283</v>
      </c>
      <c r="G8" s="3" t="s">
        <v>6563</v>
      </c>
      <c r="H8" s="3" t="s">
        <v>6212</v>
      </c>
      <c r="I8" s="3" t="s">
        <v>6567</v>
      </c>
      <c r="J8" s="40" t="s">
        <v>6571</v>
      </c>
      <c r="K8" s="4" t="s">
        <v>83</v>
      </c>
    </row>
    <row r="9">
      <c r="A9" s="3" t="s">
        <v>6624</v>
      </c>
      <c r="B9" s="3" t="s">
        <v>6627</v>
      </c>
      <c r="C9" s="3" t="s">
        <v>6630</v>
      </c>
      <c r="D9" s="3" t="s">
        <v>6633</v>
      </c>
      <c r="E9" s="3" t="s">
        <v>6283</v>
      </c>
      <c r="F9" s="3" t="s">
        <v>6283</v>
      </c>
      <c r="G9" s="3" t="s">
        <v>6637</v>
      </c>
      <c r="H9" s="3" t="s">
        <v>6212</v>
      </c>
      <c r="I9" s="3" t="s">
        <v>6641</v>
      </c>
      <c r="J9" s="40" t="s">
        <v>6644</v>
      </c>
      <c r="K9" s="4" t="s">
        <v>83</v>
      </c>
    </row>
    <row r="10">
      <c r="A10" s="3" t="s">
        <v>6718</v>
      </c>
      <c r="B10" s="3" t="s">
        <v>6719</v>
      </c>
      <c r="C10" s="3" t="s">
        <v>6722</v>
      </c>
      <c r="D10" s="3" t="s">
        <v>739</v>
      </c>
      <c r="E10" s="3" t="s">
        <v>6727</v>
      </c>
      <c r="F10" s="3" t="s">
        <v>6206</v>
      </c>
      <c r="G10" s="3" t="s">
        <v>6732</v>
      </c>
      <c r="H10" s="3" t="s">
        <v>6735</v>
      </c>
      <c r="I10" s="3" t="s">
        <v>6738</v>
      </c>
      <c r="J10" s="40" t="s">
        <v>6743</v>
      </c>
      <c r="K10" s="4" t="s">
        <v>83</v>
      </c>
    </row>
    <row r="11">
      <c r="A11" s="3" t="s">
        <v>6826</v>
      </c>
      <c r="B11" s="3" t="s">
        <v>6829</v>
      </c>
      <c r="C11" s="3" t="s">
        <v>6832</v>
      </c>
      <c r="D11" s="3" t="s">
        <v>6834</v>
      </c>
      <c r="E11" s="3" t="s">
        <v>6836</v>
      </c>
      <c r="F11" s="3" t="s">
        <v>6206</v>
      </c>
      <c r="G11" s="3" t="s">
        <v>6840</v>
      </c>
      <c r="H11" s="3" t="s">
        <v>6212</v>
      </c>
      <c r="I11" s="3" t="s">
        <v>6845</v>
      </c>
      <c r="J11" s="40" t="s">
        <v>6848</v>
      </c>
      <c r="K11" s="4" t="s">
        <v>83</v>
      </c>
    </row>
    <row r="12">
      <c r="A12" s="3" t="s">
        <v>6912</v>
      </c>
      <c r="B12" s="3" t="s">
        <v>6915</v>
      </c>
      <c r="C12" s="3" t="s">
        <v>6917</v>
      </c>
      <c r="D12" s="3" t="s">
        <v>6918</v>
      </c>
      <c r="E12" s="3" t="s">
        <v>6283</v>
      </c>
      <c r="F12" s="3" t="s">
        <v>6283</v>
      </c>
      <c r="G12" s="3" t="s">
        <v>6923</v>
      </c>
      <c r="H12" s="3" t="s">
        <v>6212</v>
      </c>
      <c r="I12" s="3" t="s">
        <v>6925</v>
      </c>
      <c r="J12" s="40" t="s">
        <v>6928</v>
      </c>
      <c r="K12" s="4" t="s">
        <v>83</v>
      </c>
    </row>
    <row r="13">
      <c r="A13" s="3" t="s">
        <v>7012</v>
      </c>
      <c r="B13" s="3" t="s">
        <v>7013</v>
      </c>
      <c r="C13" s="3" t="s">
        <v>7017</v>
      </c>
      <c r="D13" s="3" t="s">
        <v>973</v>
      </c>
      <c r="E13" s="3" t="s">
        <v>6727</v>
      </c>
      <c r="F13" s="3" t="s">
        <v>6206</v>
      </c>
      <c r="G13" s="3" t="s">
        <v>7025</v>
      </c>
      <c r="H13" s="3" t="s">
        <v>6735</v>
      </c>
      <c r="I13" s="3" t="s">
        <v>7030</v>
      </c>
      <c r="J13" s="40" t="s">
        <v>7033</v>
      </c>
      <c r="K13" s="4" t="s">
        <v>83</v>
      </c>
    </row>
    <row r="14">
      <c r="A14" s="3" t="s">
        <v>7076</v>
      </c>
      <c r="B14" s="3" t="s">
        <v>7078</v>
      </c>
      <c r="C14" s="3" t="s">
        <v>7017</v>
      </c>
      <c r="D14" s="3" t="s">
        <v>973</v>
      </c>
      <c r="E14" s="3" t="s">
        <v>6727</v>
      </c>
      <c r="F14" s="3" t="s">
        <v>6206</v>
      </c>
      <c r="G14" s="3" t="s">
        <v>7087</v>
      </c>
      <c r="H14" s="3" t="s">
        <v>6735</v>
      </c>
      <c r="I14" s="3" t="s">
        <v>7091</v>
      </c>
      <c r="J14" s="40" t="s">
        <v>7092</v>
      </c>
      <c r="K14" s="4" t="s">
        <v>83</v>
      </c>
    </row>
    <row r="15">
      <c r="A15" s="3" t="s">
        <v>7177</v>
      </c>
      <c r="B15" s="3" t="s">
        <v>7180</v>
      </c>
      <c r="C15" s="3" t="s">
        <v>7183</v>
      </c>
      <c r="D15" s="3" t="s">
        <v>7188</v>
      </c>
      <c r="E15" s="3" t="s">
        <v>6727</v>
      </c>
      <c r="F15" s="3" t="s">
        <v>6206</v>
      </c>
      <c r="G15" s="3" t="s">
        <v>7194</v>
      </c>
      <c r="H15" s="3" t="s">
        <v>6735</v>
      </c>
      <c r="I15" s="3" t="s">
        <v>7198</v>
      </c>
      <c r="J15" s="40" t="s">
        <v>7202</v>
      </c>
      <c r="K15" s="4" t="s">
        <v>83</v>
      </c>
    </row>
    <row r="16">
      <c r="A16" s="3" t="s">
        <v>7274</v>
      </c>
      <c r="B16" s="3" t="s">
        <v>7276</v>
      </c>
      <c r="C16" s="3" t="s">
        <v>7183</v>
      </c>
      <c r="D16" s="3" t="s">
        <v>7188</v>
      </c>
      <c r="E16" s="3" t="s">
        <v>6727</v>
      </c>
      <c r="F16" s="3" t="s">
        <v>6206</v>
      </c>
      <c r="G16" s="3" t="s">
        <v>7283</v>
      </c>
      <c r="H16" s="3" t="s">
        <v>6735</v>
      </c>
      <c r="I16" s="3" t="s">
        <v>7288</v>
      </c>
      <c r="J16" s="40" t="s">
        <v>7291</v>
      </c>
      <c r="K16" s="4" t="s">
        <v>83</v>
      </c>
    </row>
    <row r="17">
      <c r="A17" s="3" t="s">
        <v>7342</v>
      </c>
      <c r="B17" s="3" t="s">
        <v>7344</v>
      </c>
      <c r="C17" s="3" t="s">
        <v>7346</v>
      </c>
      <c r="D17" s="3" t="s">
        <v>973</v>
      </c>
      <c r="E17" s="3" t="s">
        <v>6727</v>
      </c>
      <c r="F17" s="3" t="s">
        <v>6206</v>
      </c>
      <c r="G17" s="3" t="s">
        <v>7347</v>
      </c>
      <c r="H17" s="3" t="s">
        <v>6735</v>
      </c>
      <c r="I17" s="3" t="s">
        <v>7349</v>
      </c>
      <c r="J17" s="40" t="s">
        <v>7351</v>
      </c>
      <c r="K17" s="4" t="s">
        <v>83</v>
      </c>
    </row>
    <row r="18">
      <c r="A18" s="3" t="s">
        <v>7367</v>
      </c>
      <c r="B18" s="3" t="s">
        <v>7368</v>
      </c>
      <c r="C18" s="3" t="s">
        <v>7017</v>
      </c>
      <c r="D18" s="3" t="s">
        <v>973</v>
      </c>
      <c r="E18" s="3" t="s">
        <v>6727</v>
      </c>
      <c r="F18" s="3" t="s">
        <v>6206</v>
      </c>
      <c r="G18" s="3" t="s">
        <v>7369</v>
      </c>
      <c r="H18" s="3" t="s">
        <v>6735</v>
      </c>
      <c r="I18" s="3" t="s">
        <v>7370</v>
      </c>
      <c r="J18" s="40" t="s">
        <v>7371</v>
      </c>
      <c r="K18" s="4" t="s">
        <v>83</v>
      </c>
    </row>
    <row r="19">
      <c r="A19" s="3" t="s">
        <v>7391</v>
      </c>
      <c r="B19" s="3" t="s">
        <v>7393</v>
      </c>
      <c r="C19" s="3" t="s">
        <v>7395</v>
      </c>
      <c r="D19" s="3" t="s">
        <v>7188</v>
      </c>
      <c r="E19" s="3" t="s">
        <v>6727</v>
      </c>
      <c r="F19" s="3" t="s">
        <v>6206</v>
      </c>
      <c r="G19" s="3" t="s">
        <v>7396</v>
      </c>
      <c r="H19" s="3" t="s">
        <v>6735</v>
      </c>
      <c r="I19" s="3" t="s">
        <v>7398</v>
      </c>
      <c r="J19" s="40" t="s">
        <v>7400</v>
      </c>
      <c r="K19" s="4" t="s">
        <v>83</v>
      </c>
    </row>
    <row r="20">
      <c r="A20" s="3" t="s">
        <v>7428</v>
      </c>
      <c r="B20" s="3" t="s">
        <v>7431</v>
      </c>
      <c r="C20" s="3" t="s">
        <v>7434</v>
      </c>
      <c r="D20" s="3" t="s">
        <v>973</v>
      </c>
      <c r="E20" s="3" t="s">
        <v>6727</v>
      </c>
      <c r="F20" s="3" t="s">
        <v>6206</v>
      </c>
      <c r="G20" s="3" t="s">
        <v>7440</v>
      </c>
      <c r="H20" s="3" t="s">
        <v>6735</v>
      </c>
      <c r="I20" s="3" t="s">
        <v>7443</v>
      </c>
      <c r="J20" s="40" t="s">
        <v>7447</v>
      </c>
      <c r="K20" s="4" t="s">
        <v>83</v>
      </c>
    </row>
    <row r="21">
      <c r="A21" s="3" t="s">
        <v>7493</v>
      </c>
      <c r="B21" s="3" t="s">
        <v>7494</v>
      </c>
      <c r="C21" s="3" t="s">
        <v>7495</v>
      </c>
      <c r="D21" s="3" t="s">
        <v>7188</v>
      </c>
      <c r="E21" s="3" t="s">
        <v>6727</v>
      </c>
      <c r="F21" s="3" t="s">
        <v>6206</v>
      </c>
      <c r="G21" s="3" t="s">
        <v>7498</v>
      </c>
      <c r="H21" s="3" t="s">
        <v>6735</v>
      </c>
      <c r="I21" s="3" t="s">
        <v>7500</v>
      </c>
      <c r="J21" s="40" t="s">
        <v>7501</v>
      </c>
      <c r="K21" s="4" t="s">
        <v>83</v>
      </c>
    </row>
    <row r="22">
      <c r="A22" s="3" t="s">
        <v>7531</v>
      </c>
      <c r="B22" s="3" t="s">
        <v>7532</v>
      </c>
      <c r="C22" s="3" t="s">
        <v>7534</v>
      </c>
      <c r="D22" s="3" t="s">
        <v>7536</v>
      </c>
      <c r="E22" s="3" t="s">
        <v>6727</v>
      </c>
      <c r="F22" s="3" t="s">
        <v>6206</v>
      </c>
      <c r="G22" s="3" t="s">
        <v>7537</v>
      </c>
      <c r="H22" s="3" t="s">
        <v>6735</v>
      </c>
      <c r="I22" s="3" t="s">
        <v>7539</v>
      </c>
      <c r="J22" s="40" t="s">
        <v>7541</v>
      </c>
      <c r="K22" s="4" t="s">
        <v>83</v>
      </c>
    </row>
    <row r="23">
      <c r="A23" s="3" t="s">
        <v>7566</v>
      </c>
      <c r="B23" s="3" t="s">
        <v>7568</v>
      </c>
      <c r="C23" s="3" t="s">
        <v>7571</v>
      </c>
      <c r="D23" s="3" t="s">
        <v>7572</v>
      </c>
      <c r="E23" s="3" t="s">
        <v>6727</v>
      </c>
      <c r="F23" s="3" t="s">
        <v>6206</v>
      </c>
      <c r="G23" s="3" t="s">
        <v>7577</v>
      </c>
      <c r="H23" s="3" t="s">
        <v>6735</v>
      </c>
      <c r="I23" s="3" t="s">
        <v>7579</v>
      </c>
      <c r="J23" s="40" t="s">
        <v>7581</v>
      </c>
      <c r="K23" s="4" t="s">
        <v>83</v>
      </c>
    </row>
    <row r="24">
      <c r="A24" s="3" t="s">
        <v>7629</v>
      </c>
      <c r="B24" s="3" t="s">
        <v>7630</v>
      </c>
      <c r="C24" s="3" t="s">
        <v>7632</v>
      </c>
      <c r="D24" s="3" t="s">
        <v>7188</v>
      </c>
      <c r="E24" s="3" t="s">
        <v>6727</v>
      </c>
      <c r="F24" s="3" t="s">
        <v>6206</v>
      </c>
      <c r="G24" s="3" t="s">
        <v>7636</v>
      </c>
      <c r="H24" s="3" t="s">
        <v>6735</v>
      </c>
      <c r="I24" s="3" t="s">
        <v>7638</v>
      </c>
      <c r="J24" s="40" t="s">
        <v>7641</v>
      </c>
      <c r="K24" s="4" t="s">
        <v>83</v>
      </c>
    </row>
    <row r="25">
      <c r="A25" s="3" t="s">
        <v>7711</v>
      </c>
      <c r="B25" s="3" t="s">
        <v>7713</v>
      </c>
      <c r="C25" s="3" t="s">
        <v>7716</v>
      </c>
      <c r="D25" s="3" t="s">
        <v>7188</v>
      </c>
      <c r="E25" s="3" t="s">
        <v>6727</v>
      </c>
      <c r="F25" s="3" t="s">
        <v>6206</v>
      </c>
      <c r="G25" s="3" t="s">
        <v>7720</v>
      </c>
      <c r="H25" s="3" t="s">
        <v>6735</v>
      </c>
      <c r="I25" s="3" t="s">
        <v>7723</v>
      </c>
      <c r="J25" s="40" t="s">
        <v>7726</v>
      </c>
      <c r="K25" s="4" t="s">
        <v>83</v>
      </c>
    </row>
  </sheetData>
  <autoFilter ref="$A$1:$K$25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</hyperlinks>
  <drawing r:id="rId2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6266</v>
      </c>
      <c r="B1" s="2" t="s">
        <v>6267</v>
      </c>
      <c r="C1" s="2" t="s">
        <v>6268</v>
      </c>
      <c r="D1" s="2" t="s">
        <v>6269</v>
      </c>
      <c r="E1" s="2" t="s">
        <v>6270</v>
      </c>
      <c r="F1" s="2" t="s">
        <v>6271</v>
      </c>
      <c r="G1" s="2" t="s">
        <v>6272</v>
      </c>
      <c r="H1" s="2" t="s">
        <v>6273</v>
      </c>
      <c r="I1" s="2" t="s">
        <v>1224</v>
      </c>
      <c r="J1" s="2" t="s">
        <v>6274</v>
      </c>
      <c r="K1" s="2" t="s">
        <v>1209</v>
      </c>
      <c r="L1" s="2" t="s">
        <v>319</v>
      </c>
      <c r="M1" s="2" t="s">
        <v>1121</v>
      </c>
    </row>
    <row r="2">
      <c r="A2" s="3" t="s">
        <v>6275</v>
      </c>
      <c r="B2" s="3" t="s">
        <v>6276</v>
      </c>
      <c r="C2" s="3" t="s">
        <v>6278</v>
      </c>
      <c r="D2" s="3" t="s">
        <v>518</v>
      </c>
      <c r="E2" s="3" t="s">
        <v>6281</v>
      </c>
      <c r="F2" s="3" t="s">
        <v>6282</v>
      </c>
      <c r="G2" s="3" t="s">
        <v>6284</v>
      </c>
      <c r="H2" s="3" t="s">
        <v>6286</v>
      </c>
      <c r="I2" s="3" t="s">
        <v>6288</v>
      </c>
      <c r="J2" s="3" t="s">
        <v>6290</v>
      </c>
      <c r="K2" s="3" t="s">
        <v>1382</v>
      </c>
      <c r="L2" s="3" t="s">
        <v>6291</v>
      </c>
      <c r="M2" s="3" t="s">
        <v>6292</v>
      </c>
    </row>
    <row r="3">
      <c r="A3" s="3" t="s">
        <v>6293</v>
      </c>
      <c r="B3" s="3" t="s">
        <v>6294</v>
      </c>
      <c r="C3" s="3" t="s">
        <v>6295</v>
      </c>
      <c r="D3" s="3" t="s">
        <v>6296</v>
      </c>
      <c r="E3" s="3" t="s">
        <v>6297</v>
      </c>
      <c r="F3" s="3" t="s">
        <v>6282</v>
      </c>
      <c r="G3" s="3" t="s">
        <v>6298</v>
      </c>
      <c r="H3" s="3" t="s">
        <v>6299</v>
      </c>
      <c r="I3" s="3" t="s">
        <v>6300</v>
      </c>
      <c r="J3" s="3" t="s">
        <v>6301</v>
      </c>
      <c r="K3" s="3" t="s">
        <v>1382</v>
      </c>
      <c r="L3" s="3" t="s">
        <v>6291</v>
      </c>
      <c r="M3" s="3" t="s">
        <v>6292</v>
      </c>
    </row>
    <row r="4">
      <c r="A4" s="3" t="s">
        <v>6302</v>
      </c>
      <c r="B4" s="3" t="s">
        <v>6303</v>
      </c>
      <c r="C4" s="3" t="s">
        <v>6304</v>
      </c>
      <c r="D4" s="3" t="s">
        <v>562</v>
      </c>
      <c r="E4" s="3" t="s">
        <v>6305</v>
      </c>
      <c r="F4" s="3" t="s">
        <v>6282</v>
      </c>
      <c r="G4" s="3" t="s">
        <v>6306</v>
      </c>
      <c r="H4" s="3" t="s">
        <v>6307</v>
      </c>
      <c r="I4" s="3" t="s">
        <v>6308</v>
      </c>
      <c r="J4" s="3" t="s">
        <v>6309</v>
      </c>
      <c r="K4" s="3" t="s">
        <v>1382</v>
      </c>
      <c r="L4" s="3" t="s">
        <v>6291</v>
      </c>
      <c r="M4" s="3" t="s">
        <v>6292</v>
      </c>
    </row>
    <row r="5">
      <c r="A5" s="3" t="s">
        <v>6310</v>
      </c>
      <c r="B5" s="3" t="s">
        <v>6311</v>
      </c>
      <c r="C5" s="3" t="s">
        <v>5924</v>
      </c>
      <c r="D5" s="3" t="s">
        <v>6312</v>
      </c>
      <c r="E5" s="3" t="s">
        <v>6313</v>
      </c>
      <c r="F5" s="3" t="s">
        <v>6282</v>
      </c>
      <c r="G5" s="3" t="s">
        <v>6314</v>
      </c>
      <c r="H5" s="3" t="s">
        <v>6315</v>
      </c>
      <c r="I5" s="3" t="s">
        <v>6316</v>
      </c>
      <c r="J5" s="3" t="s">
        <v>6317</v>
      </c>
      <c r="K5" s="3" t="s">
        <v>1382</v>
      </c>
      <c r="L5" s="3" t="s">
        <v>6291</v>
      </c>
      <c r="M5" s="3" t="s">
        <v>6292</v>
      </c>
    </row>
    <row r="6">
      <c r="A6" s="3" t="s">
        <v>6318</v>
      </c>
      <c r="B6" s="3" t="s">
        <v>6319</v>
      </c>
      <c r="C6" s="3" t="s">
        <v>6320</v>
      </c>
      <c r="D6" s="3" t="s">
        <v>562</v>
      </c>
      <c r="E6" s="3" t="s">
        <v>6321</v>
      </c>
      <c r="F6" s="3" t="s">
        <v>6282</v>
      </c>
      <c r="G6" s="3" t="s">
        <v>6322</v>
      </c>
      <c r="H6" s="3" t="s">
        <v>6323</v>
      </c>
      <c r="I6" s="3" t="s">
        <v>6324</v>
      </c>
      <c r="J6" s="3" t="s">
        <v>6325</v>
      </c>
      <c r="K6" s="3" t="s">
        <v>1382</v>
      </c>
      <c r="L6" s="3" t="s">
        <v>6326</v>
      </c>
      <c r="M6" s="3" t="s">
        <v>6292</v>
      </c>
    </row>
    <row r="7">
      <c r="A7" s="3" t="s">
        <v>6327</v>
      </c>
      <c r="B7" s="3" t="s">
        <v>6328</v>
      </c>
      <c r="C7" s="3" t="s">
        <v>6329</v>
      </c>
      <c r="D7" s="3" t="s">
        <v>789</v>
      </c>
      <c r="E7" s="3" t="s">
        <v>6330</v>
      </c>
      <c r="F7" s="3" t="s">
        <v>6282</v>
      </c>
      <c r="G7" s="3" t="s">
        <v>6331</v>
      </c>
      <c r="H7" s="3" t="s">
        <v>6332</v>
      </c>
      <c r="I7" s="3" t="s">
        <v>6333</v>
      </c>
      <c r="J7" s="3" t="s">
        <v>6335</v>
      </c>
      <c r="K7" s="3" t="s">
        <v>1382</v>
      </c>
      <c r="L7" s="3" t="s">
        <v>6291</v>
      </c>
      <c r="M7" s="3" t="s">
        <v>6292</v>
      </c>
    </row>
    <row r="8">
      <c r="A8" s="3" t="s">
        <v>6338</v>
      </c>
      <c r="B8" s="3" t="s">
        <v>6339</v>
      </c>
      <c r="C8" s="3" t="s">
        <v>817</v>
      </c>
      <c r="D8" s="3" t="s">
        <v>6341</v>
      </c>
      <c r="E8" s="3" t="s">
        <v>6342</v>
      </c>
      <c r="F8" s="3" t="s">
        <v>6282</v>
      </c>
      <c r="G8" s="3" t="s">
        <v>6344</v>
      </c>
      <c r="H8" s="3" t="s">
        <v>6346</v>
      </c>
      <c r="I8" s="3" t="s">
        <v>6347</v>
      </c>
      <c r="J8" s="3" t="s">
        <v>6348</v>
      </c>
      <c r="K8" s="3" t="s">
        <v>1382</v>
      </c>
      <c r="L8" s="3" t="s">
        <v>6291</v>
      </c>
      <c r="M8" s="3" t="s">
        <v>6292</v>
      </c>
    </row>
    <row r="9">
      <c r="A9" s="3" t="s">
        <v>6349</v>
      </c>
      <c r="B9" s="3" t="s">
        <v>6350</v>
      </c>
      <c r="C9" s="3" t="s">
        <v>84</v>
      </c>
      <c r="D9" s="3" t="s">
        <v>788</v>
      </c>
      <c r="E9" s="3" t="s">
        <v>6352</v>
      </c>
      <c r="F9" s="3" t="s">
        <v>6282</v>
      </c>
      <c r="G9" s="3" t="s">
        <v>6354</v>
      </c>
      <c r="H9" s="3" t="s">
        <v>6355</v>
      </c>
      <c r="I9" s="3" t="s">
        <v>6356</v>
      </c>
      <c r="J9" s="3" t="s">
        <v>6357</v>
      </c>
      <c r="K9" s="3" t="s">
        <v>1382</v>
      </c>
      <c r="L9" s="3" t="s">
        <v>6291</v>
      </c>
      <c r="M9" s="3" t="s">
        <v>6292</v>
      </c>
    </row>
    <row r="10">
      <c r="A10" s="3" t="s">
        <v>6360</v>
      </c>
      <c r="B10" s="3" t="s">
        <v>6362</v>
      </c>
      <c r="C10" s="3" t="s">
        <v>6363</v>
      </c>
      <c r="D10" s="3" t="s">
        <v>6364</v>
      </c>
      <c r="E10" s="3" t="s">
        <v>6367</v>
      </c>
      <c r="F10" s="3" t="s">
        <v>6282</v>
      </c>
      <c r="G10" s="3" t="s">
        <v>6371</v>
      </c>
      <c r="H10" s="3" t="s">
        <v>6373</v>
      </c>
      <c r="I10" s="3" t="s">
        <v>6380</v>
      </c>
      <c r="J10" s="3" t="s">
        <v>6382</v>
      </c>
      <c r="K10" s="3" t="s">
        <v>1382</v>
      </c>
      <c r="L10" s="3" t="s">
        <v>6291</v>
      </c>
      <c r="M10" s="3" t="s">
        <v>6292</v>
      </c>
    </row>
    <row r="11">
      <c r="A11" s="3" t="s">
        <v>6386</v>
      </c>
      <c r="B11" s="3" t="s">
        <v>6389</v>
      </c>
      <c r="C11" s="3" t="s">
        <v>6363</v>
      </c>
      <c r="D11" s="3" t="s">
        <v>6393</v>
      </c>
      <c r="E11" s="3" t="s">
        <v>6396</v>
      </c>
      <c r="F11" s="3" t="s">
        <v>6397</v>
      </c>
      <c r="G11" s="3" t="s">
        <v>6399</v>
      </c>
      <c r="H11" s="3" t="s">
        <v>6400</v>
      </c>
      <c r="I11" s="3" t="s">
        <v>6402</v>
      </c>
      <c r="J11" s="3" t="s">
        <v>6403</v>
      </c>
      <c r="K11" s="3" t="s">
        <v>1382</v>
      </c>
      <c r="L11" s="3" t="s">
        <v>6291</v>
      </c>
      <c r="M11" s="3" t="s">
        <v>6292</v>
      </c>
    </row>
    <row r="12">
      <c r="A12" s="3" t="s">
        <v>6414</v>
      </c>
      <c r="B12" s="3" t="s">
        <v>6417</v>
      </c>
      <c r="C12" s="3" t="s">
        <v>993</v>
      </c>
      <c r="D12" s="3" t="s">
        <v>560</v>
      </c>
      <c r="E12" s="3" t="s">
        <v>6423</v>
      </c>
      <c r="F12" s="3" t="s">
        <v>6425</v>
      </c>
      <c r="G12" s="3" t="s">
        <v>6427</v>
      </c>
      <c r="H12" s="3" t="s">
        <v>6429</v>
      </c>
      <c r="I12" s="3" t="s">
        <v>6431</v>
      </c>
      <c r="J12" s="3" t="s">
        <v>6434</v>
      </c>
      <c r="K12" s="3" t="s">
        <v>1382</v>
      </c>
      <c r="L12" s="3" t="s">
        <v>6326</v>
      </c>
      <c r="M12" s="3" t="s">
        <v>6292</v>
      </c>
    </row>
    <row r="13">
      <c r="A13" s="3" t="s">
        <v>6440</v>
      </c>
      <c r="B13" s="3" t="s">
        <v>6442</v>
      </c>
      <c r="C13" s="3" t="s">
        <v>6445</v>
      </c>
      <c r="D13" s="3" t="s">
        <v>6448</v>
      </c>
      <c r="E13" s="3" t="s">
        <v>6451</v>
      </c>
      <c r="F13" s="3" t="s">
        <v>6454</v>
      </c>
      <c r="G13" s="3" t="s">
        <v>6456</v>
      </c>
      <c r="H13" s="3" t="s">
        <v>6458</v>
      </c>
      <c r="I13" s="3" t="s">
        <v>6461</v>
      </c>
      <c r="J13" s="3" t="s">
        <v>6464</v>
      </c>
      <c r="K13" s="3" t="s">
        <v>328</v>
      </c>
      <c r="L13" s="3" t="s">
        <v>6291</v>
      </c>
      <c r="M13" s="3" t="s">
        <v>6470</v>
      </c>
    </row>
    <row r="14">
      <c r="A14" s="3" t="s">
        <v>6472</v>
      </c>
      <c r="B14" s="3" t="s">
        <v>6475</v>
      </c>
      <c r="C14" s="3" t="s">
        <v>6477</v>
      </c>
      <c r="D14" s="3" t="s">
        <v>6480</v>
      </c>
      <c r="E14" s="3" t="s">
        <v>6483</v>
      </c>
      <c r="F14" s="3" t="s">
        <v>6485</v>
      </c>
      <c r="G14" s="3" t="s">
        <v>6486</v>
      </c>
      <c r="H14" s="3" t="s">
        <v>6488</v>
      </c>
      <c r="I14" s="3" t="s">
        <v>6491</v>
      </c>
      <c r="J14" s="3" t="s">
        <v>6494</v>
      </c>
      <c r="K14" s="3" t="s">
        <v>328</v>
      </c>
      <c r="L14" s="3" t="s">
        <v>6291</v>
      </c>
      <c r="M14" s="3" t="s">
        <v>6497</v>
      </c>
    </row>
  </sheetData>
  <autoFilter ref="$A$1:$M$14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6351</v>
      </c>
      <c r="B1" s="2" t="s">
        <v>6353</v>
      </c>
      <c r="C1" s="2" t="s">
        <v>6366</v>
      </c>
      <c r="D1" s="2" t="s">
        <v>6369</v>
      </c>
      <c r="E1" s="2" t="s">
        <v>6374</v>
      </c>
      <c r="F1" s="2" t="s">
        <v>6377</v>
      </c>
      <c r="G1" s="2" t="s">
        <v>4873</v>
      </c>
      <c r="H1" s="2" t="s">
        <v>6381</v>
      </c>
      <c r="I1" s="2" t="s">
        <v>6383</v>
      </c>
      <c r="J1" s="2" t="s">
        <v>6385</v>
      </c>
      <c r="K1" s="2" t="s">
        <v>6387</v>
      </c>
      <c r="L1" s="2" t="s">
        <v>6390</v>
      </c>
      <c r="M1" s="2" t="s">
        <v>6392</v>
      </c>
      <c r="N1" s="2" t="s">
        <v>6395</v>
      </c>
      <c r="O1" s="2" t="s">
        <v>6398</v>
      </c>
    </row>
    <row r="2">
      <c r="A2" s="3" t="s">
        <v>6401</v>
      </c>
      <c r="B2" s="3" t="s">
        <v>5537</v>
      </c>
      <c r="C2" s="3" t="s">
        <v>6405</v>
      </c>
      <c r="D2" s="3" t="s">
        <v>6407</v>
      </c>
      <c r="E2" s="3" t="s">
        <v>6410</v>
      </c>
      <c r="F2" s="3" t="s">
        <v>6412</v>
      </c>
      <c r="G2" s="3" t="s">
        <v>6415</v>
      </c>
      <c r="H2" s="3" t="s">
        <v>6419</v>
      </c>
      <c r="I2" s="3" t="s">
        <v>6421</v>
      </c>
      <c r="J2" s="3" t="s">
        <v>6424</v>
      </c>
      <c r="K2" s="3" t="s">
        <v>6426</v>
      </c>
      <c r="L2" s="3" t="s">
        <v>6428</v>
      </c>
      <c r="M2" s="3" t="s">
        <v>6430</v>
      </c>
      <c r="N2" s="3" t="s">
        <v>6433</v>
      </c>
      <c r="O2" s="3" t="s">
        <v>6436</v>
      </c>
    </row>
    <row r="3">
      <c r="A3" s="3" t="s">
        <v>6438</v>
      </c>
      <c r="B3" s="3" t="s">
        <v>5607</v>
      </c>
      <c r="C3" s="3" t="s">
        <v>6441</v>
      </c>
      <c r="D3" s="3" t="s">
        <v>6444</v>
      </c>
      <c r="E3" s="3" t="s">
        <v>6447</v>
      </c>
      <c r="F3" s="3" t="s">
        <v>6455</v>
      </c>
      <c r="G3" s="3" t="s">
        <v>6459</v>
      </c>
      <c r="H3" s="3" t="s">
        <v>6462</v>
      </c>
      <c r="I3" s="3" t="s">
        <v>6465</v>
      </c>
      <c r="J3" s="3" t="s">
        <v>6467</v>
      </c>
      <c r="K3" s="3" t="s">
        <v>6426</v>
      </c>
      <c r="L3" s="3" t="s">
        <v>6474</v>
      </c>
      <c r="M3" s="3" t="s">
        <v>6476</v>
      </c>
      <c r="N3" s="3" t="s">
        <v>6479</v>
      </c>
      <c r="O3" s="3" t="s">
        <v>6482</v>
      </c>
    </row>
    <row r="4">
      <c r="A4" s="3" t="s">
        <v>6484</v>
      </c>
      <c r="B4" s="3" t="s">
        <v>5671</v>
      </c>
      <c r="C4" s="3" t="s">
        <v>6487</v>
      </c>
      <c r="D4" s="3" t="s">
        <v>6489</v>
      </c>
      <c r="E4" s="3" t="s">
        <v>6490</v>
      </c>
      <c r="F4" s="3" t="s">
        <v>6492</v>
      </c>
      <c r="G4" s="3" t="s">
        <v>6493</v>
      </c>
      <c r="H4" s="3" t="s">
        <v>6495</v>
      </c>
      <c r="I4" s="3" t="s">
        <v>6496</v>
      </c>
      <c r="J4" s="3" t="s">
        <v>6498</v>
      </c>
      <c r="K4" s="3" t="s">
        <v>6426</v>
      </c>
      <c r="L4" s="3" t="s">
        <v>6500</v>
      </c>
      <c r="M4" s="3" t="s">
        <v>6502</v>
      </c>
      <c r="N4" s="3" t="s">
        <v>6504</v>
      </c>
      <c r="O4" s="3" t="s">
        <v>6505</v>
      </c>
    </row>
    <row r="5">
      <c r="A5" s="3" t="s">
        <v>6506</v>
      </c>
      <c r="B5" s="3" t="s">
        <v>5688</v>
      </c>
      <c r="C5" s="3" t="s">
        <v>6441</v>
      </c>
      <c r="D5" s="3" t="s">
        <v>6512</v>
      </c>
      <c r="E5" s="3" t="s">
        <v>6514</v>
      </c>
      <c r="F5" s="3" t="s">
        <v>6455</v>
      </c>
      <c r="G5" s="3" t="s">
        <v>6517</v>
      </c>
      <c r="H5" s="3" t="s">
        <v>6518</v>
      </c>
      <c r="I5" s="3" t="s">
        <v>6519</v>
      </c>
      <c r="J5" s="3" t="s">
        <v>6521</v>
      </c>
      <c r="K5" s="3" t="s">
        <v>6426</v>
      </c>
      <c r="L5" s="3" t="s">
        <v>6524</v>
      </c>
      <c r="M5" s="3" t="s">
        <v>6526</v>
      </c>
      <c r="N5" s="3" t="s">
        <v>6528</v>
      </c>
      <c r="O5" s="45"/>
    </row>
    <row r="6">
      <c r="A6" s="3" t="s">
        <v>6536</v>
      </c>
      <c r="B6" s="3" t="s">
        <v>5701</v>
      </c>
      <c r="C6" s="3" t="s">
        <v>6538</v>
      </c>
      <c r="D6" s="3" t="s">
        <v>6540</v>
      </c>
      <c r="E6" s="3" t="s">
        <v>6542</v>
      </c>
      <c r="F6" s="3" t="s">
        <v>6544</v>
      </c>
      <c r="G6" s="3" t="s">
        <v>6546</v>
      </c>
      <c r="H6" s="3" t="s">
        <v>6548</v>
      </c>
      <c r="I6" s="3" t="s">
        <v>6549</v>
      </c>
      <c r="J6" s="3" t="s">
        <v>6550</v>
      </c>
      <c r="K6" s="3" t="s">
        <v>6551</v>
      </c>
      <c r="L6" s="3" t="s">
        <v>6553</v>
      </c>
      <c r="M6" s="3" t="s">
        <v>6502</v>
      </c>
      <c r="N6" s="3" t="s">
        <v>6556</v>
      </c>
      <c r="O6" s="3" t="s">
        <v>6559</v>
      </c>
    </row>
    <row r="7">
      <c r="A7" s="3" t="s">
        <v>6561</v>
      </c>
      <c r="B7" s="3" t="s">
        <v>5717</v>
      </c>
      <c r="C7" s="3" t="s">
        <v>6538</v>
      </c>
      <c r="D7" s="3" t="s">
        <v>6540</v>
      </c>
      <c r="E7" s="3" t="s">
        <v>6565</v>
      </c>
      <c r="F7" s="3" t="s">
        <v>6544</v>
      </c>
      <c r="G7" s="3" t="s">
        <v>6568</v>
      </c>
      <c r="H7" s="3" t="s">
        <v>6570</v>
      </c>
      <c r="I7" s="3" t="s">
        <v>6549</v>
      </c>
      <c r="J7" s="3" t="s">
        <v>6573</v>
      </c>
      <c r="K7" s="3" t="s">
        <v>6551</v>
      </c>
      <c r="L7" s="3" t="s">
        <v>6553</v>
      </c>
      <c r="M7" s="3" t="s">
        <v>6502</v>
      </c>
      <c r="N7" s="3" t="s">
        <v>6575</v>
      </c>
      <c r="O7" s="3" t="s">
        <v>6576</v>
      </c>
    </row>
    <row r="8">
      <c r="A8" s="3" t="s">
        <v>6577</v>
      </c>
      <c r="B8" s="3" t="s">
        <v>5730</v>
      </c>
      <c r="C8" s="3" t="s">
        <v>6579</v>
      </c>
      <c r="D8" s="3" t="s">
        <v>6580</v>
      </c>
      <c r="E8" s="3" t="s">
        <v>6582</v>
      </c>
      <c r="F8" s="3" t="s">
        <v>6584</v>
      </c>
      <c r="G8" s="3" t="s">
        <v>6585</v>
      </c>
      <c r="H8" s="3" t="s">
        <v>6587</v>
      </c>
      <c r="I8" s="3" t="s">
        <v>6588</v>
      </c>
      <c r="J8" s="3" t="s">
        <v>6590</v>
      </c>
      <c r="K8" s="3" t="s">
        <v>6426</v>
      </c>
      <c r="L8" s="3" t="s">
        <v>6474</v>
      </c>
      <c r="M8" s="3" t="s">
        <v>6476</v>
      </c>
      <c r="N8" s="3" t="s">
        <v>6594</v>
      </c>
      <c r="O8" s="3" t="s">
        <v>6595</v>
      </c>
    </row>
    <row r="9">
      <c r="A9" s="3" t="s">
        <v>6596</v>
      </c>
      <c r="B9" s="3" t="s">
        <v>5759</v>
      </c>
      <c r="C9" s="3" t="s">
        <v>6599</v>
      </c>
      <c r="D9" s="3" t="s">
        <v>6601</v>
      </c>
      <c r="E9" s="3" t="s">
        <v>6602</v>
      </c>
      <c r="F9" s="3" t="s">
        <v>6455</v>
      </c>
      <c r="G9" s="3" t="s">
        <v>6604</v>
      </c>
      <c r="H9" s="3" t="s">
        <v>6606</v>
      </c>
      <c r="I9" s="3" t="s">
        <v>6607</v>
      </c>
      <c r="J9" s="3" t="s">
        <v>6609</v>
      </c>
      <c r="K9" s="3" t="s">
        <v>6426</v>
      </c>
      <c r="L9" s="3" t="s">
        <v>6612</v>
      </c>
      <c r="M9" s="3" t="s">
        <v>397</v>
      </c>
      <c r="N9" s="3" t="s">
        <v>6613</v>
      </c>
      <c r="O9" s="3" t="s">
        <v>6614</v>
      </c>
    </row>
    <row r="10">
      <c r="A10" s="3" t="s">
        <v>6615</v>
      </c>
      <c r="B10" s="3" t="s">
        <v>5775</v>
      </c>
      <c r="C10" s="3" t="s">
        <v>6487</v>
      </c>
      <c r="D10" s="3" t="s">
        <v>6618</v>
      </c>
      <c r="E10" s="3" t="s">
        <v>6619</v>
      </c>
      <c r="F10" s="3" t="s">
        <v>6620</v>
      </c>
      <c r="G10" s="3" t="s">
        <v>6622</v>
      </c>
      <c r="H10" s="3" t="s">
        <v>6623</v>
      </c>
      <c r="I10" s="3" t="s">
        <v>6626</v>
      </c>
      <c r="J10" s="3" t="s">
        <v>6629</v>
      </c>
      <c r="K10" s="3" t="s">
        <v>6632</v>
      </c>
      <c r="L10" s="3" t="s">
        <v>6500</v>
      </c>
      <c r="M10" s="3" t="s">
        <v>6635</v>
      </c>
      <c r="N10" s="3" t="s">
        <v>6636</v>
      </c>
      <c r="O10" s="3" t="s">
        <v>6638</v>
      </c>
    </row>
    <row r="11">
      <c r="A11" s="3" t="s">
        <v>6639</v>
      </c>
      <c r="B11" s="3" t="s">
        <v>5798</v>
      </c>
      <c r="C11" s="3" t="s">
        <v>6643</v>
      </c>
      <c r="D11" s="3" t="s">
        <v>6646</v>
      </c>
      <c r="E11" s="3" t="s">
        <v>6647</v>
      </c>
      <c r="F11" s="3" t="s">
        <v>6455</v>
      </c>
      <c r="G11" s="3" t="s">
        <v>6649</v>
      </c>
      <c r="H11" s="3" t="s">
        <v>6651</v>
      </c>
      <c r="I11" s="3" t="s">
        <v>6653</v>
      </c>
      <c r="J11" s="3" t="s">
        <v>6655</v>
      </c>
      <c r="K11" s="3" t="s">
        <v>6632</v>
      </c>
      <c r="L11" s="3" t="s">
        <v>6657</v>
      </c>
      <c r="M11" s="3" t="s">
        <v>993</v>
      </c>
      <c r="N11" s="3" t="s">
        <v>6658</v>
      </c>
      <c r="O11" s="3" t="s">
        <v>6659</v>
      </c>
    </row>
    <row r="12">
      <c r="A12" s="3" t="s">
        <v>6661</v>
      </c>
      <c r="B12" s="3" t="s">
        <v>5824</v>
      </c>
      <c r="C12" s="3" t="s">
        <v>6599</v>
      </c>
      <c r="D12" s="3" t="s">
        <v>6664</v>
      </c>
      <c r="E12" s="3" t="s">
        <v>6666</v>
      </c>
      <c r="F12" s="3" t="s">
        <v>6667</v>
      </c>
      <c r="G12" s="3" t="s">
        <v>6669</v>
      </c>
      <c r="H12" s="3" t="s">
        <v>6671</v>
      </c>
      <c r="I12" s="3" t="s">
        <v>6673</v>
      </c>
      <c r="J12" s="3" t="s">
        <v>6676</v>
      </c>
      <c r="K12" s="3" t="s">
        <v>6677</v>
      </c>
      <c r="L12" s="3" t="s">
        <v>6678</v>
      </c>
      <c r="M12" s="3" t="s">
        <v>6681</v>
      </c>
      <c r="N12" s="3" t="s">
        <v>6685</v>
      </c>
      <c r="O12" s="3" t="s">
        <v>6687</v>
      </c>
    </row>
    <row r="13">
      <c r="A13" s="3" t="s">
        <v>6690</v>
      </c>
      <c r="B13" s="3" t="s">
        <v>5847</v>
      </c>
      <c r="C13" s="3" t="s">
        <v>6694</v>
      </c>
      <c r="D13" s="3" t="s">
        <v>6697</v>
      </c>
      <c r="E13" s="3" t="s">
        <v>6700</v>
      </c>
      <c r="F13" s="3" t="s">
        <v>6702</v>
      </c>
      <c r="G13" s="3" t="s">
        <v>6703</v>
      </c>
      <c r="H13" s="3" t="s">
        <v>6704</v>
      </c>
      <c r="I13" s="3" t="s">
        <v>6705</v>
      </c>
      <c r="J13" s="3" t="s">
        <v>6707</v>
      </c>
      <c r="K13" s="3" t="s">
        <v>6709</v>
      </c>
      <c r="L13" s="3" t="s">
        <v>6295</v>
      </c>
      <c r="M13" s="3" t="s">
        <v>6710</v>
      </c>
      <c r="N13" s="3" t="s">
        <v>6712</v>
      </c>
      <c r="O13" s="3" t="s">
        <v>6713</v>
      </c>
    </row>
    <row r="14">
      <c r="A14" s="3" t="s">
        <v>6715</v>
      </c>
      <c r="B14" s="3" t="s">
        <v>383</v>
      </c>
      <c r="C14" s="3" t="s">
        <v>632</v>
      </c>
      <c r="D14" s="3" t="s">
        <v>6720</v>
      </c>
      <c r="E14" s="3" t="s">
        <v>6723</v>
      </c>
      <c r="F14" s="3" t="s">
        <v>6725</v>
      </c>
      <c r="G14" s="3" t="s">
        <v>6728</v>
      </c>
      <c r="H14" s="3" t="s">
        <v>6730</v>
      </c>
      <c r="I14" s="3" t="s">
        <v>6733</v>
      </c>
      <c r="J14" s="3" t="s">
        <v>6736</v>
      </c>
      <c r="K14" s="3" t="s">
        <v>6426</v>
      </c>
      <c r="L14" s="3" t="s">
        <v>6740</v>
      </c>
      <c r="M14" s="3" t="s">
        <v>6742</v>
      </c>
      <c r="N14" s="3" t="s">
        <v>6745</v>
      </c>
      <c r="O14" s="3" t="s">
        <v>6747</v>
      </c>
    </row>
    <row r="15">
      <c r="A15" s="3" t="s">
        <v>6749</v>
      </c>
      <c r="B15" s="3" t="s">
        <v>5891</v>
      </c>
      <c r="C15" s="3" t="s">
        <v>632</v>
      </c>
      <c r="D15" s="3" t="s">
        <v>6752</v>
      </c>
      <c r="E15" s="3" t="s">
        <v>6754</v>
      </c>
      <c r="F15" s="3" t="s">
        <v>6756</v>
      </c>
      <c r="G15" s="3" t="s">
        <v>6758</v>
      </c>
      <c r="H15" s="3" t="s">
        <v>6760</v>
      </c>
      <c r="I15" s="3" t="s">
        <v>6762</v>
      </c>
      <c r="J15" s="3" t="s">
        <v>6764</v>
      </c>
      <c r="K15" s="3" t="s">
        <v>6766</v>
      </c>
      <c r="L15" s="3" t="s">
        <v>6768</v>
      </c>
      <c r="M15" s="3" t="s">
        <v>6635</v>
      </c>
      <c r="N15" s="3" t="s">
        <v>6770</v>
      </c>
      <c r="O15" s="3" t="s">
        <v>6772</v>
      </c>
    </row>
    <row r="16">
      <c r="A16" s="3" t="s">
        <v>6774</v>
      </c>
      <c r="B16" s="3" t="s">
        <v>5963</v>
      </c>
      <c r="C16" s="3" t="s">
        <v>518</v>
      </c>
      <c r="D16" s="3" t="s">
        <v>6777</v>
      </c>
      <c r="E16" s="3" t="s">
        <v>6779</v>
      </c>
      <c r="F16" s="3" t="s">
        <v>6455</v>
      </c>
      <c r="G16" s="3" t="s">
        <v>6782</v>
      </c>
      <c r="H16" s="3" t="s">
        <v>6784</v>
      </c>
      <c r="I16" s="3" t="s">
        <v>6786</v>
      </c>
      <c r="J16" s="3" t="s">
        <v>6788</v>
      </c>
      <c r="K16" s="3" t="s">
        <v>6789</v>
      </c>
      <c r="L16" s="3" t="s">
        <v>6791</v>
      </c>
      <c r="M16" s="3" t="s">
        <v>6792</v>
      </c>
      <c r="N16" s="3" t="s">
        <v>6793</v>
      </c>
      <c r="O16" s="3" t="s">
        <v>6795</v>
      </c>
    </row>
    <row r="17">
      <c r="A17" s="3" t="s">
        <v>6797</v>
      </c>
      <c r="B17" s="3" t="s">
        <v>5989</v>
      </c>
      <c r="C17" s="3" t="s">
        <v>632</v>
      </c>
      <c r="D17" s="3" t="s">
        <v>6800</v>
      </c>
      <c r="E17" s="3" t="s">
        <v>6802</v>
      </c>
      <c r="F17" s="3" t="s">
        <v>6803</v>
      </c>
      <c r="G17" s="3" t="s">
        <v>6805</v>
      </c>
      <c r="H17" s="3" t="s">
        <v>6806</v>
      </c>
      <c r="I17" s="3" t="s">
        <v>6808</v>
      </c>
      <c r="J17" s="3" t="s">
        <v>6810</v>
      </c>
      <c r="K17" s="3" t="s">
        <v>6812</v>
      </c>
      <c r="L17" s="3" t="s">
        <v>6813</v>
      </c>
      <c r="M17" s="3" t="s">
        <v>6635</v>
      </c>
      <c r="N17" s="3" t="s">
        <v>6815</v>
      </c>
      <c r="O17" s="3" t="s">
        <v>6817</v>
      </c>
    </row>
    <row r="18">
      <c r="A18" s="3" t="s">
        <v>6819</v>
      </c>
      <c r="B18" s="3" t="s">
        <v>6012</v>
      </c>
      <c r="C18" s="3" t="s">
        <v>6599</v>
      </c>
      <c r="D18" s="3" t="s">
        <v>6822</v>
      </c>
      <c r="E18" s="3" t="s">
        <v>6824</v>
      </c>
      <c r="F18" s="3" t="s">
        <v>6455</v>
      </c>
      <c r="G18" s="3" t="s">
        <v>6827</v>
      </c>
      <c r="H18" s="3" t="s">
        <v>6830</v>
      </c>
      <c r="I18" s="3" t="s">
        <v>6833</v>
      </c>
      <c r="J18" s="3" t="s">
        <v>6835</v>
      </c>
      <c r="K18" s="3" t="s">
        <v>6838</v>
      </c>
      <c r="L18" s="3" t="s">
        <v>6839</v>
      </c>
      <c r="M18" s="3" t="s">
        <v>6842</v>
      </c>
      <c r="N18" s="3" t="s">
        <v>6844</v>
      </c>
      <c r="O18" s="3" t="s">
        <v>6846</v>
      </c>
    </row>
    <row r="19">
      <c r="A19" s="3" t="s">
        <v>6849</v>
      </c>
      <c r="B19" s="3" t="s">
        <v>6032</v>
      </c>
      <c r="C19" s="3" t="s">
        <v>6599</v>
      </c>
      <c r="D19" s="3" t="s">
        <v>6852</v>
      </c>
      <c r="E19" s="3" t="s">
        <v>6854</v>
      </c>
      <c r="F19" s="3" t="s">
        <v>6856</v>
      </c>
      <c r="G19" s="3" t="s">
        <v>6857</v>
      </c>
      <c r="H19" s="3" t="s">
        <v>6858</v>
      </c>
      <c r="I19" s="3" t="s">
        <v>6860</v>
      </c>
      <c r="J19" s="3" t="s">
        <v>6862</v>
      </c>
      <c r="K19" s="3" t="s">
        <v>6864</v>
      </c>
      <c r="L19" s="3" t="s">
        <v>6865</v>
      </c>
      <c r="M19" s="3" t="s">
        <v>395</v>
      </c>
      <c r="N19" s="3" t="s">
        <v>6867</v>
      </c>
      <c r="O19" s="3" t="s">
        <v>6868</v>
      </c>
    </row>
    <row r="20">
      <c r="A20" s="3" t="s">
        <v>6870</v>
      </c>
      <c r="B20" s="3" t="s">
        <v>6045</v>
      </c>
      <c r="C20" s="3" t="s">
        <v>6872</v>
      </c>
      <c r="D20" s="3" t="s">
        <v>6874</v>
      </c>
      <c r="E20" s="3" t="s">
        <v>6875</v>
      </c>
      <c r="F20" s="3" t="s">
        <v>6877</v>
      </c>
      <c r="G20" s="3" t="s">
        <v>6879</v>
      </c>
      <c r="H20" s="3" t="s">
        <v>6881</v>
      </c>
      <c r="I20" s="3" t="s">
        <v>6883</v>
      </c>
      <c r="J20" s="3" t="s">
        <v>6885</v>
      </c>
      <c r="K20" s="3" t="s">
        <v>6426</v>
      </c>
      <c r="L20" s="3" t="s">
        <v>6500</v>
      </c>
      <c r="M20" s="3" t="s">
        <v>391</v>
      </c>
      <c r="N20" s="3" t="s">
        <v>6889</v>
      </c>
      <c r="O20" s="3" t="s">
        <v>6890</v>
      </c>
    </row>
    <row r="21">
      <c r="A21" s="3" t="s">
        <v>6892</v>
      </c>
      <c r="B21" s="3" t="s">
        <v>6058</v>
      </c>
      <c r="C21" s="3" t="s">
        <v>6599</v>
      </c>
      <c r="D21" s="3" t="s">
        <v>6895</v>
      </c>
      <c r="E21" s="3" t="s">
        <v>6896</v>
      </c>
      <c r="F21" s="3" t="s">
        <v>6455</v>
      </c>
      <c r="G21" s="3" t="s">
        <v>6898</v>
      </c>
      <c r="H21" s="3" t="s">
        <v>6900</v>
      </c>
      <c r="I21" s="3" t="s">
        <v>6902</v>
      </c>
      <c r="J21" s="3" t="s">
        <v>6904</v>
      </c>
      <c r="K21" s="3" t="s">
        <v>6906</v>
      </c>
      <c r="L21" s="3" t="s">
        <v>6908</v>
      </c>
      <c r="M21" s="3" t="s">
        <v>6502</v>
      </c>
      <c r="N21" s="3" t="s">
        <v>6910</v>
      </c>
      <c r="O21" s="3" t="s">
        <v>6911</v>
      </c>
    </row>
    <row r="22">
      <c r="A22" s="3" t="s">
        <v>6914</v>
      </c>
      <c r="B22" s="3" t="s">
        <v>6077</v>
      </c>
      <c r="C22" s="3" t="s">
        <v>6599</v>
      </c>
      <c r="D22" s="3" t="s">
        <v>6919</v>
      </c>
      <c r="E22" s="3" t="s">
        <v>6921</v>
      </c>
      <c r="F22" s="3" t="s">
        <v>6455</v>
      </c>
      <c r="G22" s="3" t="s">
        <v>6924</v>
      </c>
      <c r="H22" s="3" t="s">
        <v>6927</v>
      </c>
      <c r="I22" s="3" t="s">
        <v>6902</v>
      </c>
      <c r="J22" s="3" t="s">
        <v>6931</v>
      </c>
      <c r="K22" s="3" t="s">
        <v>6906</v>
      </c>
      <c r="L22" s="3" t="s">
        <v>6908</v>
      </c>
      <c r="M22" s="3" t="s">
        <v>6502</v>
      </c>
      <c r="N22" s="3" t="s">
        <v>6934</v>
      </c>
      <c r="O22" s="3" t="s">
        <v>6936</v>
      </c>
    </row>
    <row r="23">
      <c r="A23" s="3" t="s">
        <v>6938</v>
      </c>
      <c r="B23" s="3" t="s">
        <v>6096</v>
      </c>
      <c r="C23" s="3" t="s">
        <v>6941</v>
      </c>
      <c r="D23" s="3" t="s">
        <v>6944</v>
      </c>
      <c r="E23" s="3" t="s">
        <v>6945</v>
      </c>
      <c r="F23" s="3" t="s">
        <v>6455</v>
      </c>
      <c r="G23" s="3" t="s">
        <v>6948</v>
      </c>
      <c r="H23" s="3" t="s">
        <v>6950</v>
      </c>
      <c r="I23" s="3" t="s">
        <v>6951</v>
      </c>
      <c r="J23" s="3" t="s">
        <v>6953</v>
      </c>
      <c r="K23" s="3" t="s">
        <v>6956</v>
      </c>
      <c r="L23" s="3" t="s">
        <v>6957</v>
      </c>
      <c r="M23" s="3" t="s">
        <v>6960</v>
      </c>
      <c r="N23" s="3" t="s">
        <v>6962</v>
      </c>
      <c r="O23" s="3" t="s">
        <v>6964</v>
      </c>
    </row>
    <row r="24">
      <c r="A24" s="3" t="s">
        <v>6965</v>
      </c>
      <c r="B24" s="3" t="s">
        <v>6119</v>
      </c>
      <c r="C24" s="3" t="s">
        <v>6599</v>
      </c>
      <c r="D24" s="3" t="s">
        <v>6970</v>
      </c>
      <c r="E24" s="3" t="s">
        <v>6972</v>
      </c>
      <c r="F24" s="3" t="s">
        <v>6455</v>
      </c>
      <c r="G24" s="3" t="s">
        <v>6975</v>
      </c>
      <c r="H24" s="3" t="s">
        <v>6978</v>
      </c>
      <c r="I24" s="3" t="s">
        <v>6979</v>
      </c>
      <c r="J24" s="3" t="s">
        <v>6982</v>
      </c>
      <c r="K24" s="3" t="s">
        <v>6956</v>
      </c>
      <c r="L24" s="3" t="s">
        <v>6985</v>
      </c>
      <c r="M24" s="3" t="s">
        <v>6987</v>
      </c>
      <c r="N24" s="3" t="s">
        <v>6989</v>
      </c>
      <c r="O24" s="3" t="s">
        <v>6993</v>
      </c>
    </row>
    <row r="25">
      <c r="A25" s="3" t="s">
        <v>6996</v>
      </c>
      <c r="B25" s="3" t="s">
        <v>6136</v>
      </c>
      <c r="C25" s="3" t="s">
        <v>7001</v>
      </c>
      <c r="D25" s="3" t="s">
        <v>7004</v>
      </c>
      <c r="E25" s="3" t="s">
        <v>7006</v>
      </c>
      <c r="F25" s="3" t="s">
        <v>6455</v>
      </c>
      <c r="G25" s="3" t="s">
        <v>7010</v>
      </c>
      <c r="H25" s="3" t="s">
        <v>7022</v>
      </c>
      <c r="I25" s="3" t="s">
        <v>7024</v>
      </c>
      <c r="J25" s="3" t="s">
        <v>7027</v>
      </c>
      <c r="K25" s="3" t="s">
        <v>7029</v>
      </c>
      <c r="L25" s="3" t="s">
        <v>7032</v>
      </c>
      <c r="M25" s="3" t="s">
        <v>107</v>
      </c>
      <c r="N25" s="3" t="s">
        <v>7034</v>
      </c>
      <c r="O25" s="3" t="s">
        <v>7035</v>
      </c>
    </row>
    <row r="26">
      <c r="A26" s="3" t="s">
        <v>7036</v>
      </c>
      <c r="B26" s="3" t="s">
        <v>6151</v>
      </c>
      <c r="C26" s="3" t="s">
        <v>5899</v>
      </c>
      <c r="D26" s="3" t="s">
        <v>7038</v>
      </c>
      <c r="E26" s="3" t="s">
        <v>7039</v>
      </c>
      <c r="F26" s="3" t="s">
        <v>6455</v>
      </c>
      <c r="G26" s="3" t="s">
        <v>7041</v>
      </c>
      <c r="H26" s="3" t="s">
        <v>7044</v>
      </c>
      <c r="I26" s="3" t="s">
        <v>5798</v>
      </c>
      <c r="J26" s="3" t="s">
        <v>7048</v>
      </c>
      <c r="K26" s="3" t="s">
        <v>7050</v>
      </c>
      <c r="L26" s="3" t="s">
        <v>7032</v>
      </c>
      <c r="M26" s="3" t="s">
        <v>107</v>
      </c>
      <c r="N26" s="3" t="s">
        <v>7051</v>
      </c>
      <c r="O26" s="3" t="s">
        <v>7052</v>
      </c>
    </row>
    <row r="27">
      <c r="A27" s="3" t="s">
        <v>7053</v>
      </c>
      <c r="B27" s="3" t="s">
        <v>6169</v>
      </c>
      <c r="C27" s="3" t="s">
        <v>7055</v>
      </c>
      <c r="D27" s="3" t="s">
        <v>7056</v>
      </c>
      <c r="E27" s="3" t="s">
        <v>7057</v>
      </c>
      <c r="F27" s="3" t="s">
        <v>7058</v>
      </c>
      <c r="G27" s="3" t="s">
        <v>7060</v>
      </c>
      <c r="H27" s="3" t="s">
        <v>7061</v>
      </c>
      <c r="I27" s="3" t="s">
        <v>7063</v>
      </c>
      <c r="J27" s="3" t="s">
        <v>7064</v>
      </c>
      <c r="K27" s="3" t="s">
        <v>7067</v>
      </c>
      <c r="L27" s="3" t="s">
        <v>7070</v>
      </c>
      <c r="M27" s="3" t="s">
        <v>395</v>
      </c>
      <c r="N27" s="3" t="s">
        <v>7072</v>
      </c>
      <c r="O27" s="3" t="s">
        <v>7074</v>
      </c>
    </row>
    <row r="28">
      <c r="A28" s="3" t="s">
        <v>7075</v>
      </c>
      <c r="B28" s="3" t="s">
        <v>6193</v>
      </c>
      <c r="C28" s="3" t="s">
        <v>7055</v>
      </c>
      <c r="D28" s="3" t="s">
        <v>7082</v>
      </c>
      <c r="E28" s="3" t="s">
        <v>7086</v>
      </c>
      <c r="F28" s="3" t="s">
        <v>6455</v>
      </c>
      <c r="G28" s="3" t="s">
        <v>7090</v>
      </c>
      <c r="H28" s="3" t="s">
        <v>7101</v>
      </c>
      <c r="I28" s="3" t="s">
        <v>7102</v>
      </c>
      <c r="J28" s="3" t="s">
        <v>7103</v>
      </c>
      <c r="K28" s="3" t="s">
        <v>7106</v>
      </c>
      <c r="L28" s="3" t="s">
        <v>7070</v>
      </c>
      <c r="M28" s="3" t="s">
        <v>395</v>
      </c>
      <c r="N28" s="3" t="s">
        <v>7110</v>
      </c>
      <c r="O28" s="3" t="s">
        <v>7112</v>
      </c>
    </row>
    <row r="29">
      <c r="A29" s="3" t="s">
        <v>7115</v>
      </c>
      <c r="B29" s="3" t="s">
        <v>6210</v>
      </c>
      <c r="C29" s="3" t="s">
        <v>7118</v>
      </c>
      <c r="D29" s="3" t="s">
        <v>7120</v>
      </c>
      <c r="E29" s="3" t="s">
        <v>7122</v>
      </c>
      <c r="F29" s="3" t="s">
        <v>7125</v>
      </c>
      <c r="G29" s="3" t="s">
        <v>7127</v>
      </c>
      <c r="H29" s="3" t="s">
        <v>7129</v>
      </c>
      <c r="I29" s="3" t="s">
        <v>7132</v>
      </c>
      <c r="J29" s="3" t="s">
        <v>7134</v>
      </c>
      <c r="K29" s="3" t="s">
        <v>7136</v>
      </c>
      <c r="L29" s="3" t="s">
        <v>7138</v>
      </c>
      <c r="M29" s="3" t="s">
        <v>6502</v>
      </c>
      <c r="N29" s="3" t="s">
        <v>7142</v>
      </c>
      <c r="O29" s="3" t="s">
        <v>7145</v>
      </c>
    </row>
    <row r="30">
      <c r="A30" s="3" t="s">
        <v>7147</v>
      </c>
      <c r="B30" s="3" t="s">
        <v>6230</v>
      </c>
      <c r="C30" s="3" t="s">
        <v>7152</v>
      </c>
      <c r="D30" s="3" t="s">
        <v>7154</v>
      </c>
      <c r="E30" s="3" t="s">
        <v>7159</v>
      </c>
      <c r="F30" s="3" t="s">
        <v>6756</v>
      </c>
      <c r="G30" s="3" t="s">
        <v>7163</v>
      </c>
      <c r="H30" s="3" t="s">
        <v>7165</v>
      </c>
      <c r="I30" s="3" t="s">
        <v>7167</v>
      </c>
      <c r="J30" s="3" t="s">
        <v>7169</v>
      </c>
      <c r="K30" s="3" t="s">
        <v>7171</v>
      </c>
      <c r="L30" s="3" t="s">
        <v>7173</v>
      </c>
      <c r="M30" s="3" t="s">
        <v>7176</v>
      </c>
      <c r="N30" s="3" t="s">
        <v>7178</v>
      </c>
      <c r="O30" s="3" t="s">
        <v>7182</v>
      </c>
    </row>
    <row r="31">
      <c r="A31" s="3" t="s">
        <v>7184</v>
      </c>
      <c r="B31" s="3" t="s">
        <v>6237</v>
      </c>
      <c r="C31" s="3" t="s">
        <v>7187</v>
      </c>
      <c r="D31" s="3" t="s">
        <v>7190</v>
      </c>
      <c r="E31" s="3" t="s">
        <v>7192</v>
      </c>
      <c r="F31" s="3" t="s">
        <v>7196</v>
      </c>
      <c r="G31" s="3" t="s">
        <v>7201</v>
      </c>
      <c r="H31" s="3" t="s">
        <v>7204</v>
      </c>
      <c r="I31" s="3" t="s">
        <v>7205</v>
      </c>
      <c r="J31" s="3" t="s">
        <v>7208</v>
      </c>
      <c r="K31" s="3" t="s">
        <v>6709</v>
      </c>
      <c r="L31" s="3" t="s">
        <v>7210</v>
      </c>
      <c r="M31" s="3" t="s">
        <v>7212</v>
      </c>
      <c r="N31" s="3" t="s">
        <v>7214</v>
      </c>
      <c r="O31" s="3" t="s">
        <v>7217</v>
      </c>
    </row>
    <row r="32">
      <c r="A32" s="3" t="s">
        <v>7221</v>
      </c>
      <c r="B32" s="3" t="s">
        <v>6243</v>
      </c>
      <c r="C32" s="3" t="s">
        <v>6643</v>
      </c>
      <c r="D32" s="3" t="s">
        <v>7226</v>
      </c>
      <c r="E32" s="3" t="s">
        <v>7228</v>
      </c>
      <c r="F32" s="3" t="s">
        <v>6455</v>
      </c>
      <c r="G32" s="3" t="s">
        <v>7232</v>
      </c>
      <c r="H32" s="3" t="s">
        <v>7234</v>
      </c>
      <c r="I32" s="3" t="s">
        <v>7237</v>
      </c>
      <c r="J32" s="3" t="s">
        <v>7240</v>
      </c>
      <c r="K32" s="3" t="s">
        <v>7241</v>
      </c>
      <c r="L32" s="3" t="s">
        <v>7243</v>
      </c>
      <c r="M32" s="3" t="s">
        <v>6987</v>
      </c>
      <c r="N32" s="3" t="s">
        <v>7244</v>
      </c>
      <c r="O32" s="3" t="s">
        <v>7246</v>
      </c>
    </row>
    <row r="33">
      <c r="A33" s="3" t="s">
        <v>7249</v>
      </c>
      <c r="B33" s="3" t="s">
        <v>6255</v>
      </c>
      <c r="C33" s="3" t="s">
        <v>7251</v>
      </c>
      <c r="D33" s="3" t="s">
        <v>7254</v>
      </c>
      <c r="E33" s="3" t="s">
        <v>7257</v>
      </c>
      <c r="F33" s="3" t="s">
        <v>6455</v>
      </c>
      <c r="G33" s="3" t="s">
        <v>7262</v>
      </c>
      <c r="H33" s="3" t="s">
        <v>7264</v>
      </c>
      <c r="I33" s="3" t="s">
        <v>7266</v>
      </c>
      <c r="J33" s="3" t="s">
        <v>7268</v>
      </c>
      <c r="K33" s="3" t="s">
        <v>7270</v>
      </c>
      <c r="L33" s="3" t="s">
        <v>7272</v>
      </c>
      <c r="M33" s="3" t="s">
        <v>2509</v>
      </c>
      <c r="N33" s="3" t="s">
        <v>7277</v>
      </c>
      <c r="O33" s="3" t="s">
        <v>7278</v>
      </c>
    </row>
    <row r="34">
      <c r="A34" s="3" t="s">
        <v>7280</v>
      </c>
      <c r="B34" s="3" t="s">
        <v>6261</v>
      </c>
      <c r="C34" s="3" t="s">
        <v>6643</v>
      </c>
      <c r="D34" s="3" t="s">
        <v>7285</v>
      </c>
      <c r="E34" s="3" t="s">
        <v>7289</v>
      </c>
      <c r="F34" s="3" t="s">
        <v>6756</v>
      </c>
      <c r="G34" s="3" t="s">
        <v>7293</v>
      </c>
      <c r="H34" s="3" t="s">
        <v>7296</v>
      </c>
      <c r="I34" s="3" t="s">
        <v>7298</v>
      </c>
      <c r="J34" s="3" t="s">
        <v>7301</v>
      </c>
      <c r="K34" s="3" t="s">
        <v>7303</v>
      </c>
      <c r="L34" s="3" t="s">
        <v>6678</v>
      </c>
      <c r="M34" s="3" t="s">
        <v>993</v>
      </c>
      <c r="N34" s="3" t="s">
        <v>7305</v>
      </c>
      <c r="O34" s="3" t="s">
        <v>7306</v>
      </c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</row>
  </sheetData>
  <autoFilter ref="$A$1:$O$34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6266</v>
      </c>
      <c r="B1" s="2" t="s">
        <v>6267</v>
      </c>
      <c r="C1" s="2" t="s">
        <v>6372</v>
      </c>
      <c r="D1" s="2" t="s">
        <v>6375</v>
      </c>
      <c r="E1" s="2" t="s">
        <v>6376</v>
      </c>
      <c r="F1" s="2" t="s">
        <v>6378</v>
      </c>
      <c r="G1" s="2" t="s">
        <v>6379</v>
      </c>
      <c r="H1" s="2" t="s">
        <v>6384</v>
      </c>
      <c r="I1" s="2" t="s">
        <v>36</v>
      </c>
      <c r="J1" s="2" t="s">
        <v>6388</v>
      </c>
      <c r="K1" s="2" t="s">
        <v>6391</v>
      </c>
      <c r="L1" s="2" t="s">
        <v>6394</v>
      </c>
      <c r="M1" s="2" t="s">
        <v>6192</v>
      </c>
    </row>
    <row r="2">
      <c r="A2" s="3" t="s">
        <v>6275</v>
      </c>
      <c r="B2" s="3" t="s">
        <v>6276</v>
      </c>
      <c r="C2" s="3" t="s">
        <v>6404</v>
      </c>
      <c r="D2" s="3" t="s">
        <v>6406</v>
      </c>
      <c r="E2" s="3" t="s">
        <v>6408</v>
      </c>
      <c r="F2" s="3" t="s">
        <v>6409</v>
      </c>
      <c r="G2" s="3" t="s">
        <v>6411</v>
      </c>
      <c r="H2" s="3" t="s">
        <v>6413</v>
      </c>
      <c r="I2" s="3" t="s">
        <v>6416</v>
      </c>
      <c r="J2" s="3" t="s">
        <v>6418</v>
      </c>
      <c r="K2" s="3" t="s">
        <v>6420</v>
      </c>
      <c r="L2" s="3" t="s">
        <v>6422</v>
      </c>
      <c r="M2" s="4" t="s">
        <v>83</v>
      </c>
    </row>
    <row r="3">
      <c r="A3" s="3" t="s">
        <v>6293</v>
      </c>
      <c r="B3" s="3" t="s">
        <v>6294</v>
      </c>
      <c r="C3" s="3" t="s">
        <v>6432</v>
      </c>
      <c r="D3" s="3" t="s">
        <v>6435</v>
      </c>
      <c r="E3" s="3" t="s">
        <v>6437</v>
      </c>
      <c r="F3" s="3" t="s">
        <v>6409</v>
      </c>
      <c r="G3" s="3" t="s">
        <v>6439</v>
      </c>
      <c r="H3" s="3" t="s">
        <v>6413</v>
      </c>
      <c r="I3" s="3" t="s">
        <v>6443</v>
      </c>
      <c r="J3" s="3" t="s">
        <v>6446</v>
      </c>
      <c r="K3" s="3" t="s">
        <v>6449</v>
      </c>
      <c r="L3" s="3" t="s">
        <v>6452</v>
      </c>
      <c r="M3" s="4" t="s">
        <v>83</v>
      </c>
    </row>
    <row r="4">
      <c r="A4" s="3" t="s">
        <v>6302</v>
      </c>
      <c r="B4" s="3" t="s">
        <v>6460</v>
      </c>
      <c r="C4" s="3" t="s">
        <v>6463</v>
      </c>
      <c r="D4" s="3" t="s">
        <v>6466</v>
      </c>
      <c r="E4" s="3" t="s">
        <v>6469</v>
      </c>
      <c r="F4" s="3" t="s">
        <v>6409</v>
      </c>
      <c r="G4" s="3" t="s">
        <v>6473</v>
      </c>
      <c r="H4" s="3" t="s">
        <v>6413</v>
      </c>
      <c r="I4" s="3" t="s">
        <v>6478</v>
      </c>
      <c r="J4" s="3" t="s">
        <v>6499</v>
      </c>
      <c r="K4" s="3" t="s">
        <v>6501</v>
      </c>
      <c r="L4" s="3" t="s">
        <v>6503</v>
      </c>
      <c r="M4" s="4" t="s">
        <v>83</v>
      </c>
    </row>
    <row r="5">
      <c r="A5" s="3" t="s">
        <v>6310</v>
      </c>
      <c r="B5" s="3" t="s">
        <v>6311</v>
      </c>
      <c r="C5" s="3" t="s">
        <v>6507</v>
      </c>
      <c r="D5" s="3" t="s">
        <v>6508</v>
      </c>
      <c r="E5" s="3" t="s">
        <v>6509</v>
      </c>
      <c r="F5" s="3" t="s">
        <v>6409</v>
      </c>
      <c r="G5" s="3" t="s">
        <v>6510</v>
      </c>
      <c r="H5" s="3" t="s">
        <v>6413</v>
      </c>
      <c r="I5" s="3" t="s">
        <v>6511</v>
      </c>
      <c r="J5" s="3" t="s">
        <v>6513</v>
      </c>
      <c r="K5" s="3" t="s">
        <v>6515</v>
      </c>
      <c r="L5" s="3" t="s">
        <v>6516</v>
      </c>
      <c r="M5" s="4" t="s">
        <v>83</v>
      </c>
    </row>
    <row r="6">
      <c r="A6" s="3" t="s">
        <v>6318</v>
      </c>
      <c r="B6" s="3" t="s">
        <v>6319</v>
      </c>
      <c r="C6" s="3" t="s">
        <v>6520</v>
      </c>
      <c r="D6" s="3" t="s">
        <v>6522</v>
      </c>
      <c r="E6" s="3" t="s">
        <v>6523</v>
      </c>
      <c r="F6" s="3" t="s">
        <v>6409</v>
      </c>
      <c r="G6" s="3" t="s">
        <v>6525</v>
      </c>
      <c r="H6" s="3" t="s">
        <v>6527</v>
      </c>
      <c r="I6" s="3" t="s">
        <v>6529</v>
      </c>
      <c r="J6" s="3" t="s">
        <v>6530</v>
      </c>
      <c r="K6" s="3" t="s">
        <v>6531</v>
      </c>
      <c r="L6" s="3" t="s">
        <v>6532</v>
      </c>
      <c r="M6" s="4" t="s">
        <v>83</v>
      </c>
    </row>
    <row r="7">
      <c r="A7" s="3" t="s">
        <v>6327</v>
      </c>
      <c r="B7" s="3" t="s">
        <v>6328</v>
      </c>
      <c r="C7" s="3" t="s">
        <v>6533</v>
      </c>
      <c r="D7" s="3" t="s">
        <v>6534</v>
      </c>
      <c r="E7" s="3" t="s">
        <v>6535</v>
      </c>
      <c r="F7" s="3" t="s">
        <v>6409</v>
      </c>
      <c r="G7" s="3" t="s">
        <v>6537</v>
      </c>
      <c r="H7" s="3" t="s">
        <v>6539</v>
      </c>
      <c r="I7" s="3" t="s">
        <v>6541</v>
      </c>
      <c r="J7" s="3" t="s">
        <v>6543</v>
      </c>
      <c r="K7" s="3" t="s">
        <v>6545</v>
      </c>
      <c r="L7" s="3" t="s">
        <v>6547</v>
      </c>
      <c r="M7" s="4" t="s">
        <v>83</v>
      </c>
    </row>
    <row r="8">
      <c r="A8" s="3" t="s">
        <v>6338</v>
      </c>
      <c r="B8" s="3" t="s">
        <v>6339</v>
      </c>
      <c r="C8" s="3" t="s">
        <v>6554</v>
      </c>
      <c r="D8" s="3" t="s">
        <v>6557</v>
      </c>
      <c r="E8" s="3" t="s">
        <v>6560</v>
      </c>
      <c r="F8" s="3" t="s">
        <v>6409</v>
      </c>
      <c r="G8" s="3" t="s">
        <v>6562</v>
      </c>
      <c r="H8" s="3" t="s">
        <v>6564</v>
      </c>
      <c r="I8" s="3" t="s">
        <v>6566</v>
      </c>
      <c r="J8" s="3" t="s">
        <v>6569</v>
      </c>
      <c r="K8" s="3" t="s">
        <v>6572</v>
      </c>
      <c r="L8" s="3" t="s">
        <v>6574</v>
      </c>
      <c r="M8" s="4" t="s">
        <v>83</v>
      </c>
    </row>
    <row r="9">
      <c r="A9" s="3" t="s">
        <v>6349</v>
      </c>
      <c r="B9" s="3" t="s">
        <v>6350</v>
      </c>
      <c r="C9" s="3" t="s">
        <v>6578</v>
      </c>
      <c r="D9" s="3" t="s">
        <v>6581</v>
      </c>
      <c r="E9" s="3" t="s">
        <v>6583</v>
      </c>
      <c r="F9" s="3" t="s">
        <v>6409</v>
      </c>
      <c r="G9" s="3" t="s">
        <v>6586</v>
      </c>
      <c r="H9" s="3" t="s">
        <v>6564</v>
      </c>
      <c r="I9" s="3" t="s">
        <v>6589</v>
      </c>
      <c r="J9" s="3" t="s">
        <v>6591</v>
      </c>
      <c r="K9" s="3" t="s">
        <v>6592</v>
      </c>
      <c r="L9" s="3" t="s">
        <v>6593</v>
      </c>
      <c r="M9" s="4" t="s">
        <v>83</v>
      </c>
    </row>
    <row r="10">
      <c r="A10" s="3" t="s">
        <v>6360</v>
      </c>
      <c r="B10" s="3" t="s">
        <v>6362</v>
      </c>
      <c r="C10" s="3" t="s">
        <v>6597</v>
      </c>
      <c r="D10" s="3" t="s">
        <v>6598</v>
      </c>
      <c r="E10" s="3" t="s">
        <v>6600</v>
      </c>
      <c r="F10" s="3" t="s">
        <v>6409</v>
      </c>
      <c r="G10" s="3" t="s">
        <v>6603</v>
      </c>
      <c r="H10" s="3" t="s">
        <v>6413</v>
      </c>
      <c r="I10" s="3" t="s">
        <v>6605</v>
      </c>
      <c r="J10" s="3" t="s">
        <v>6608</v>
      </c>
      <c r="K10" s="3" t="s">
        <v>6610</v>
      </c>
      <c r="L10" s="3" t="s">
        <v>6611</v>
      </c>
      <c r="M10" s="4" t="s">
        <v>83</v>
      </c>
    </row>
    <row r="11">
      <c r="A11" s="3" t="s">
        <v>6386</v>
      </c>
      <c r="B11" s="3" t="s">
        <v>6389</v>
      </c>
      <c r="C11" s="3" t="s">
        <v>6597</v>
      </c>
      <c r="D11" s="3" t="s">
        <v>6616</v>
      </c>
      <c r="E11" s="3" t="s">
        <v>6617</v>
      </c>
      <c r="F11" s="3" t="s">
        <v>6409</v>
      </c>
      <c r="G11" s="3" t="s">
        <v>6621</v>
      </c>
      <c r="H11" s="3" t="s">
        <v>6527</v>
      </c>
      <c r="I11" s="3" t="s">
        <v>6625</v>
      </c>
      <c r="J11" s="3" t="s">
        <v>6628</v>
      </c>
      <c r="K11" s="3" t="s">
        <v>6631</v>
      </c>
      <c r="L11" s="3" t="s">
        <v>6634</v>
      </c>
      <c r="M11" s="4" t="s">
        <v>83</v>
      </c>
    </row>
    <row r="12">
      <c r="A12" s="3" t="s">
        <v>6414</v>
      </c>
      <c r="B12" s="3" t="s">
        <v>6417</v>
      </c>
      <c r="C12" s="3" t="s">
        <v>6640</v>
      </c>
      <c r="D12" s="3" t="s">
        <v>6642</v>
      </c>
      <c r="E12" s="3" t="s">
        <v>6645</v>
      </c>
      <c r="F12" s="3" t="s">
        <v>6409</v>
      </c>
      <c r="G12" s="3" t="s">
        <v>6648</v>
      </c>
      <c r="H12" s="3" t="s">
        <v>6413</v>
      </c>
      <c r="I12" s="3" t="s">
        <v>6650</v>
      </c>
      <c r="J12" s="3" t="s">
        <v>6652</v>
      </c>
      <c r="K12" s="3" t="s">
        <v>6654</v>
      </c>
      <c r="L12" s="3" t="s">
        <v>6656</v>
      </c>
      <c r="M12" s="4" t="s">
        <v>83</v>
      </c>
    </row>
    <row r="13">
      <c r="A13" s="3" t="s">
        <v>6440</v>
      </c>
      <c r="B13" s="3" t="s">
        <v>6442</v>
      </c>
      <c r="C13" s="3" t="s">
        <v>6660</v>
      </c>
      <c r="D13" s="3" t="s">
        <v>6662</v>
      </c>
      <c r="E13" s="3" t="s">
        <v>6663</v>
      </c>
      <c r="F13" s="3" t="s">
        <v>6409</v>
      </c>
      <c r="G13" s="3" t="s">
        <v>6665</v>
      </c>
      <c r="H13" s="3" t="s">
        <v>6413</v>
      </c>
      <c r="I13" s="3" t="s">
        <v>6668</v>
      </c>
      <c r="J13" s="3" t="s">
        <v>6670</v>
      </c>
      <c r="K13" s="3" t="s">
        <v>6672</v>
      </c>
      <c r="L13" s="3" t="s">
        <v>6674</v>
      </c>
      <c r="M13" s="4" t="s">
        <v>83</v>
      </c>
    </row>
    <row r="14">
      <c r="A14" s="3" t="s">
        <v>6472</v>
      </c>
      <c r="B14" s="3" t="s">
        <v>6475</v>
      </c>
      <c r="C14" s="3" t="s">
        <v>6679</v>
      </c>
      <c r="D14" s="3" t="s">
        <v>6682</v>
      </c>
      <c r="E14" s="3" t="s">
        <v>6684</v>
      </c>
      <c r="F14" s="3" t="s">
        <v>6409</v>
      </c>
      <c r="G14" s="3" t="s">
        <v>6688</v>
      </c>
      <c r="H14" s="3" t="s">
        <v>6564</v>
      </c>
      <c r="I14" s="3" t="s">
        <v>6691</v>
      </c>
      <c r="J14" s="3" t="s">
        <v>6693</v>
      </c>
      <c r="K14" s="3" t="s">
        <v>6695</v>
      </c>
      <c r="L14" s="3" t="s">
        <v>6698</v>
      </c>
      <c r="M14" s="4" t="s">
        <v>83</v>
      </c>
    </row>
  </sheetData>
  <autoFilter ref="$A$1:$M$14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25"/>
    <col customWidth="1" min="3" max="4" width="21.38"/>
    <col customWidth="1" min="5" max="5" width="41.38"/>
    <col customWidth="1" min="6" max="8" width="22.63"/>
    <col customWidth="1" min="9" max="10" width="38.88"/>
    <col customWidth="1" min="11" max="15" width="27.63"/>
  </cols>
  <sheetData>
    <row r="1">
      <c r="A1" s="2" t="s">
        <v>6675</v>
      </c>
      <c r="B1" s="2" t="s">
        <v>6680</v>
      </c>
      <c r="C1" s="2" t="s">
        <v>6683</v>
      </c>
      <c r="D1" s="2" t="s">
        <v>6686</v>
      </c>
      <c r="E1" s="2" t="s">
        <v>6689</v>
      </c>
      <c r="F1" s="2" t="s">
        <v>6692</v>
      </c>
      <c r="G1" s="2" t="s">
        <v>6696</v>
      </c>
      <c r="H1" s="2" t="s">
        <v>6699</v>
      </c>
      <c r="I1" s="2" t="s">
        <v>6701</v>
      </c>
      <c r="J1" s="2" t="s">
        <v>5780</v>
      </c>
      <c r="K1" s="2" t="s">
        <v>5777</v>
      </c>
      <c r="L1" s="2" t="s">
        <v>6706</v>
      </c>
      <c r="M1" s="2" t="s">
        <v>6708</v>
      </c>
      <c r="N1" s="2" t="s">
        <v>1121</v>
      </c>
      <c r="O1" s="2" t="s">
        <v>6711</v>
      </c>
    </row>
    <row r="2">
      <c r="A2" s="3" t="s">
        <v>6714</v>
      </c>
      <c r="B2" s="3" t="s">
        <v>6716</v>
      </c>
      <c r="C2" s="3" t="s">
        <v>6717</v>
      </c>
      <c r="D2" s="3" t="s">
        <v>624</v>
      </c>
      <c r="E2" s="3" t="s">
        <v>6721</v>
      </c>
      <c r="F2" s="3" t="s">
        <v>6724</v>
      </c>
      <c r="G2" s="3" t="s">
        <v>6726</v>
      </c>
      <c r="H2" s="3" t="s">
        <v>6729</v>
      </c>
      <c r="I2" s="3" t="s">
        <v>6731</v>
      </c>
      <c r="J2" s="3" t="s">
        <v>6734</v>
      </c>
      <c r="K2" s="3" t="s">
        <v>6737</v>
      </c>
      <c r="L2" s="3" t="s">
        <v>6739</v>
      </c>
      <c r="M2" s="3" t="s">
        <v>6741</v>
      </c>
      <c r="N2" s="3" t="s">
        <v>6744</v>
      </c>
      <c r="O2" s="3" t="s">
        <v>6746</v>
      </c>
    </row>
    <row r="3">
      <c r="A3" s="3" t="s">
        <v>6748</v>
      </c>
      <c r="B3" s="3" t="s">
        <v>6716</v>
      </c>
      <c r="C3" s="3" t="s">
        <v>6750</v>
      </c>
      <c r="D3" s="3" t="s">
        <v>6751</v>
      </c>
      <c r="E3" s="3" t="s">
        <v>6753</v>
      </c>
      <c r="F3" s="3" t="s">
        <v>6755</v>
      </c>
      <c r="G3" s="3" t="s">
        <v>6757</v>
      </c>
      <c r="H3" s="3" t="s">
        <v>6759</v>
      </c>
      <c r="I3" s="3" t="s">
        <v>6761</v>
      </c>
      <c r="J3" s="3" t="s">
        <v>6763</v>
      </c>
      <c r="K3" s="3" t="s">
        <v>6765</v>
      </c>
      <c r="L3" s="3" t="s">
        <v>6714</v>
      </c>
      <c r="M3" s="3" t="s">
        <v>6767</v>
      </c>
      <c r="N3" s="3" t="s">
        <v>6744</v>
      </c>
      <c r="O3" s="3" t="s">
        <v>6769</v>
      </c>
    </row>
    <row r="4">
      <c r="A4" s="3" t="s">
        <v>6771</v>
      </c>
      <c r="B4" s="3" t="s">
        <v>6773</v>
      </c>
      <c r="C4" s="3" t="s">
        <v>6775</v>
      </c>
      <c r="D4" s="3" t="s">
        <v>6441</v>
      </c>
      <c r="E4" s="3" t="s">
        <v>6776</v>
      </c>
      <c r="F4" s="3" t="s">
        <v>6778</v>
      </c>
      <c r="G4" s="3" t="s">
        <v>6780</v>
      </c>
      <c r="H4" s="3" t="s">
        <v>6781</v>
      </c>
      <c r="I4" s="3" t="s">
        <v>6783</v>
      </c>
      <c r="J4" s="3" t="s">
        <v>6785</v>
      </c>
      <c r="K4" s="3" t="s">
        <v>6787</v>
      </c>
      <c r="L4" s="3" t="s">
        <v>6748</v>
      </c>
      <c r="M4" s="3" t="s">
        <v>6790</v>
      </c>
      <c r="N4" s="3" t="s">
        <v>6744</v>
      </c>
      <c r="O4" s="3" t="s">
        <v>6794</v>
      </c>
    </row>
    <row r="5">
      <c r="A5" s="3" t="s">
        <v>6796</v>
      </c>
      <c r="B5" s="3" t="s">
        <v>6773</v>
      </c>
      <c r="C5" s="3" t="s">
        <v>6798</v>
      </c>
      <c r="D5" s="3" t="s">
        <v>6799</v>
      </c>
      <c r="E5" s="3" t="s">
        <v>6801</v>
      </c>
      <c r="F5" s="3" t="s">
        <v>6755</v>
      </c>
      <c r="G5" s="3" t="s">
        <v>6804</v>
      </c>
      <c r="H5" s="3" t="s">
        <v>5688</v>
      </c>
      <c r="I5" s="3" t="s">
        <v>6807</v>
      </c>
      <c r="J5" s="3" t="s">
        <v>6809</v>
      </c>
      <c r="K5" s="3" t="s">
        <v>6811</v>
      </c>
      <c r="L5" s="3" t="s">
        <v>6714</v>
      </c>
      <c r="M5" s="3" t="s">
        <v>6814</v>
      </c>
      <c r="N5" s="3" t="s">
        <v>6744</v>
      </c>
      <c r="O5" s="3" t="s">
        <v>6816</v>
      </c>
    </row>
    <row r="6">
      <c r="A6" s="3" t="s">
        <v>6818</v>
      </c>
      <c r="B6" s="3" t="s">
        <v>6820</v>
      </c>
      <c r="C6" s="3" t="s">
        <v>6821</v>
      </c>
      <c r="D6" s="3" t="s">
        <v>518</v>
      </c>
      <c r="E6" s="3" t="s">
        <v>6823</v>
      </c>
      <c r="F6" s="3" t="s">
        <v>6755</v>
      </c>
      <c r="G6" s="3" t="s">
        <v>6825</v>
      </c>
      <c r="H6" s="3" t="s">
        <v>6828</v>
      </c>
      <c r="I6" s="3" t="s">
        <v>6831</v>
      </c>
      <c r="J6" s="3" t="s">
        <v>6837</v>
      </c>
      <c r="K6" s="3" t="s">
        <v>6791</v>
      </c>
      <c r="L6" s="3" t="s">
        <v>6841</v>
      </c>
      <c r="M6" s="3" t="s">
        <v>6843</v>
      </c>
      <c r="N6" s="3" t="s">
        <v>6292</v>
      </c>
      <c r="O6" s="3" t="s">
        <v>6847</v>
      </c>
    </row>
    <row r="7">
      <c r="A7" s="3" t="s">
        <v>6850</v>
      </c>
      <c r="B7" s="3" t="s">
        <v>6820</v>
      </c>
      <c r="C7" s="3" t="s">
        <v>6851</v>
      </c>
      <c r="D7" s="3" t="s">
        <v>6853</v>
      </c>
      <c r="E7" s="3" t="s">
        <v>6855</v>
      </c>
      <c r="F7" s="3" t="s">
        <v>6755</v>
      </c>
      <c r="G7" s="3" t="s">
        <v>6825</v>
      </c>
      <c r="H7" s="3" t="s">
        <v>6859</v>
      </c>
      <c r="I7" s="3" t="s">
        <v>6861</v>
      </c>
      <c r="J7" s="3" t="s">
        <v>6863</v>
      </c>
      <c r="K7" s="3" t="s">
        <v>6295</v>
      </c>
      <c r="L7" s="3" t="s">
        <v>6771</v>
      </c>
      <c r="M7" s="3" t="s">
        <v>6866</v>
      </c>
      <c r="N7" s="3" t="s">
        <v>6292</v>
      </c>
      <c r="O7" s="3" t="s">
        <v>6869</v>
      </c>
    </row>
    <row r="8">
      <c r="A8" s="3" t="s">
        <v>6871</v>
      </c>
      <c r="B8" s="3" t="s">
        <v>6820</v>
      </c>
      <c r="C8" s="3" t="s">
        <v>6873</v>
      </c>
      <c r="D8" s="3" t="s">
        <v>562</v>
      </c>
      <c r="E8" s="3" t="s">
        <v>6876</v>
      </c>
      <c r="F8" s="3" t="s">
        <v>6878</v>
      </c>
      <c r="G8" s="3" t="s">
        <v>6880</v>
      </c>
      <c r="H8" s="3" t="s">
        <v>6882</v>
      </c>
      <c r="I8" s="3" t="s">
        <v>6884</v>
      </c>
      <c r="J8" s="3" t="s">
        <v>6886</v>
      </c>
      <c r="K8" s="3" t="s">
        <v>6887</v>
      </c>
      <c r="L8" s="3" t="s">
        <v>6771</v>
      </c>
      <c r="M8" s="3" t="s">
        <v>6888</v>
      </c>
      <c r="N8" s="3" t="s">
        <v>6292</v>
      </c>
      <c r="O8" s="3" t="s">
        <v>6891</v>
      </c>
    </row>
    <row r="9">
      <c r="A9" s="3" t="s">
        <v>6893</v>
      </c>
      <c r="B9" s="3" t="s">
        <v>6820</v>
      </c>
      <c r="C9" s="3" t="s">
        <v>6894</v>
      </c>
      <c r="D9" s="3" t="s">
        <v>562</v>
      </c>
      <c r="E9" s="3" t="s">
        <v>6897</v>
      </c>
      <c r="F9" s="3" t="s">
        <v>6878</v>
      </c>
      <c r="G9" s="3" t="s">
        <v>6899</v>
      </c>
      <c r="H9" s="3" t="s">
        <v>6901</v>
      </c>
      <c r="I9" s="3" t="s">
        <v>6903</v>
      </c>
      <c r="J9" s="3" t="s">
        <v>6905</v>
      </c>
      <c r="K9" s="3" t="s">
        <v>6907</v>
      </c>
      <c r="L9" s="3" t="s">
        <v>6871</v>
      </c>
      <c r="M9" s="3" t="s">
        <v>6909</v>
      </c>
      <c r="N9" s="3" t="s">
        <v>6292</v>
      </c>
      <c r="O9" s="3" t="s">
        <v>6913</v>
      </c>
    </row>
    <row r="10">
      <c r="A10" s="3" t="s">
        <v>6916</v>
      </c>
      <c r="B10" s="3" t="s">
        <v>6820</v>
      </c>
      <c r="C10" s="3" t="s">
        <v>1472</v>
      </c>
      <c r="D10" s="3" t="s">
        <v>6920</v>
      </c>
      <c r="E10" s="3" t="s">
        <v>6922</v>
      </c>
      <c r="F10" s="3" t="s">
        <v>6755</v>
      </c>
      <c r="G10" s="3" t="s">
        <v>6825</v>
      </c>
      <c r="H10" s="3" t="s">
        <v>6926</v>
      </c>
      <c r="I10" s="3" t="s">
        <v>6929</v>
      </c>
      <c r="J10" s="3" t="s">
        <v>6930</v>
      </c>
      <c r="K10" s="3" t="s">
        <v>6932</v>
      </c>
      <c r="L10" s="3" t="s">
        <v>6771</v>
      </c>
      <c r="M10" s="3" t="s">
        <v>6933</v>
      </c>
      <c r="N10" s="3" t="s">
        <v>6292</v>
      </c>
      <c r="O10" s="3" t="s">
        <v>6935</v>
      </c>
    </row>
    <row r="11">
      <c r="A11" s="3" t="s">
        <v>6937</v>
      </c>
      <c r="B11" s="3" t="s">
        <v>6820</v>
      </c>
      <c r="C11" s="3" t="s">
        <v>6940</v>
      </c>
      <c r="D11" s="3" t="s">
        <v>562</v>
      </c>
      <c r="E11" s="3" t="s">
        <v>6943</v>
      </c>
      <c r="F11" s="3" t="s">
        <v>6755</v>
      </c>
      <c r="G11" s="3" t="s">
        <v>6825</v>
      </c>
      <c r="H11" s="3" t="s">
        <v>6946</v>
      </c>
      <c r="I11" s="3" t="s">
        <v>6947</v>
      </c>
      <c r="J11" s="3" t="s">
        <v>6949</v>
      </c>
      <c r="K11" s="3" t="s">
        <v>6320</v>
      </c>
      <c r="L11" s="3" t="s">
        <v>6771</v>
      </c>
      <c r="M11" s="3" t="s">
        <v>6954</v>
      </c>
      <c r="N11" s="3" t="s">
        <v>6292</v>
      </c>
      <c r="O11" s="3" t="s">
        <v>6958</v>
      </c>
    </row>
    <row r="12">
      <c r="A12" s="3" t="s">
        <v>6961</v>
      </c>
      <c r="B12" s="3" t="s">
        <v>6820</v>
      </c>
      <c r="C12" s="3" t="s">
        <v>6967</v>
      </c>
      <c r="D12" s="3" t="s">
        <v>788</v>
      </c>
      <c r="E12" s="3" t="s">
        <v>6969</v>
      </c>
      <c r="F12" s="3" t="s">
        <v>6971</v>
      </c>
      <c r="G12" s="3" t="s">
        <v>6825</v>
      </c>
      <c r="H12" s="3" t="s">
        <v>6974</v>
      </c>
      <c r="I12" s="3" t="s">
        <v>6977</v>
      </c>
      <c r="J12" s="3" t="s">
        <v>6335</v>
      </c>
      <c r="K12" s="3" t="s">
        <v>6981</v>
      </c>
      <c r="L12" s="3" t="s">
        <v>6771</v>
      </c>
      <c r="M12" s="3" t="s">
        <v>6984</v>
      </c>
      <c r="N12" s="3" t="s">
        <v>6292</v>
      </c>
      <c r="O12" s="3" t="s">
        <v>6990</v>
      </c>
    </row>
    <row r="13">
      <c r="A13" s="3" t="s">
        <v>6992</v>
      </c>
      <c r="B13" s="3" t="s">
        <v>6820</v>
      </c>
      <c r="C13" s="3" t="s">
        <v>6995</v>
      </c>
      <c r="D13" s="3" t="s">
        <v>6997</v>
      </c>
      <c r="E13" s="3" t="s">
        <v>6999</v>
      </c>
      <c r="F13" s="3" t="s">
        <v>7000</v>
      </c>
      <c r="G13" s="3" t="s">
        <v>7002</v>
      </c>
      <c r="H13" s="3" t="s">
        <v>7005</v>
      </c>
      <c r="I13" s="3" t="s">
        <v>7008</v>
      </c>
      <c r="J13" s="3" t="s">
        <v>7009</v>
      </c>
      <c r="K13" s="3" t="s">
        <v>7011</v>
      </c>
      <c r="L13" s="3" t="s">
        <v>6961</v>
      </c>
      <c r="M13" s="3" t="s">
        <v>7014</v>
      </c>
      <c r="N13" s="3" t="s">
        <v>7016</v>
      </c>
      <c r="O13" s="3" t="s">
        <v>7019</v>
      </c>
    </row>
    <row r="14">
      <c r="A14" s="3" t="s">
        <v>7020</v>
      </c>
      <c r="B14" s="3" t="s">
        <v>6820</v>
      </c>
      <c r="C14" s="3" t="s">
        <v>7026</v>
      </c>
      <c r="D14" s="3" t="s">
        <v>7028</v>
      </c>
      <c r="E14" s="3" t="s">
        <v>7031</v>
      </c>
      <c r="F14" s="3" t="s">
        <v>7040</v>
      </c>
      <c r="G14" s="3" t="s">
        <v>6825</v>
      </c>
      <c r="H14" s="3" t="s">
        <v>7042</v>
      </c>
      <c r="I14" s="3" t="s">
        <v>7045</v>
      </c>
      <c r="J14" s="3" t="s">
        <v>7047</v>
      </c>
      <c r="K14" s="3" t="s">
        <v>84</v>
      </c>
      <c r="L14" s="3" t="s">
        <v>6961</v>
      </c>
      <c r="M14" s="3" t="s">
        <v>7062</v>
      </c>
      <c r="N14" s="3" t="s">
        <v>6292</v>
      </c>
      <c r="O14" s="3" t="s">
        <v>7066</v>
      </c>
    </row>
    <row r="15">
      <c r="A15" s="3" t="s">
        <v>7068</v>
      </c>
      <c r="B15" s="3" t="s">
        <v>6820</v>
      </c>
      <c r="C15" s="3" t="s">
        <v>7071</v>
      </c>
      <c r="D15" s="3" t="s">
        <v>6364</v>
      </c>
      <c r="E15" s="3" t="s">
        <v>7073</v>
      </c>
      <c r="F15" s="3" t="s">
        <v>6755</v>
      </c>
      <c r="G15" s="3" t="s">
        <v>7077</v>
      </c>
      <c r="H15" s="3" t="s">
        <v>7080</v>
      </c>
      <c r="I15" s="3" t="s">
        <v>7081</v>
      </c>
      <c r="J15" s="3" t="s">
        <v>7083</v>
      </c>
      <c r="K15" s="3" t="s">
        <v>7085</v>
      </c>
      <c r="L15" s="3" t="s">
        <v>6771</v>
      </c>
      <c r="M15" s="3" t="s">
        <v>7089</v>
      </c>
      <c r="N15" s="3" t="s">
        <v>6292</v>
      </c>
      <c r="O15" s="3" t="s">
        <v>7093</v>
      </c>
    </row>
    <row r="16">
      <c r="A16" s="3" t="s">
        <v>7094</v>
      </c>
      <c r="B16" s="3" t="s">
        <v>6820</v>
      </c>
      <c r="C16" s="3" t="s">
        <v>7096</v>
      </c>
      <c r="D16" s="3" t="s">
        <v>7098</v>
      </c>
      <c r="E16" s="3" t="s">
        <v>7100</v>
      </c>
      <c r="F16" s="3" t="s">
        <v>6755</v>
      </c>
      <c r="G16" s="3" t="s">
        <v>6397</v>
      </c>
      <c r="H16" s="3" t="s">
        <v>7104</v>
      </c>
      <c r="I16" s="3" t="s">
        <v>7107</v>
      </c>
      <c r="J16" s="3" t="s">
        <v>7108</v>
      </c>
      <c r="K16" s="3" t="s">
        <v>6363</v>
      </c>
      <c r="L16" s="3" t="s">
        <v>7068</v>
      </c>
      <c r="M16" s="3" t="s">
        <v>7113</v>
      </c>
      <c r="N16" s="3" t="s">
        <v>7114</v>
      </c>
      <c r="O16" s="3" t="s">
        <v>7116</v>
      </c>
    </row>
    <row r="17">
      <c r="A17" s="3" t="s">
        <v>7117</v>
      </c>
      <c r="B17" s="3" t="s">
        <v>6820</v>
      </c>
      <c r="C17" s="3" t="s">
        <v>7121</v>
      </c>
      <c r="D17" s="3" t="s">
        <v>7123</v>
      </c>
      <c r="E17" s="3" t="s">
        <v>7126</v>
      </c>
      <c r="F17" s="3" t="s">
        <v>6755</v>
      </c>
      <c r="G17" s="3" t="s">
        <v>7130</v>
      </c>
      <c r="H17" s="3" t="s">
        <v>7133</v>
      </c>
      <c r="I17" s="3" t="s">
        <v>7135</v>
      </c>
      <c r="J17" s="3" t="s">
        <v>7137</v>
      </c>
      <c r="K17" s="3" t="s">
        <v>7139</v>
      </c>
      <c r="L17" s="3" t="s">
        <v>7141</v>
      </c>
      <c r="M17" s="3" t="s">
        <v>7143</v>
      </c>
      <c r="N17" s="3" t="s">
        <v>6292</v>
      </c>
      <c r="O17" s="3" t="s">
        <v>7146</v>
      </c>
    </row>
    <row r="18">
      <c r="A18" s="3" t="s">
        <v>7149</v>
      </c>
      <c r="B18" s="3" t="s">
        <v>7150</v>
      </c>
      <c r="C18" s="3" t="s">
        <v>7153</v>
      </c>
      <c r="D18" s="3" t="s">
        <v>7155</v>
      </c>
      <c r="E18" s="3" t="s">
        <v>7156</v>
      </c>
      <c r="F18" s="3" t="s">
        <v>7157</v>
      </c>
      <c r="G18" s="3" t="s">
        <v>7160</v>
      </c>
      <c r="H18" s="3" t="s">
        <v>7162</v>
      </c>
      <c r="I18" s="3" t="s">
        <v>7166</v>
      </c>
      <c r="J18" s="3" t="s">
        <v>7168</v>
      </c>
      <c r="K18" s="3" t="s">
        <v>7170</v>
      </c>
      <c r="L18" s="3" t="s">
        <v>7172</v>
      </c>
      <c r="M18" s="3" t="s">
        <v>7174</v>
      </c>
      <c r="N18" s="3" t="s">
        <v>6744</v>
      </c>
      <c r="O18" s="3" t="s">
        <v>7181</v>
      </c>
    </row>
    <row r="19">
      <c r="A19" s="3" t="s">
        <v>7185</v>
      </c>
      <c r="B19" s="3" t="s">
        <v>7150</v>
      </c>
      <c r="C19" s="3" t="s">
        <v>7189</v>
      </c>
      <c r="D19" s="3" t="s">
        <v>7191</v>
      </c>
      <c r="E19" s="3" t="s">
        <v>7193</v>
      </c>
      <c r="F19" s="3" t="s">
        <v>7195</v>
      </c>
      <c r="G19" s="3" t="s">
        <v>7197</v>
      </c>
      <c r="H19" s="3" t="s">
        <v>7200</v>
      </c>
      <c r="I19" s="3" t="s">
        <v>7203</v>
      </c>
      <c r="J19" s="3" t="s">
        <v>7206</v>
      </c>
      <c r="K19" s="3" t="s">
        <v>7209</v>
      </c>
      <c r="L19" s="3" t="s">
        <v>7149</v>
      </c>
      <c r="M19" s="3" t="s">
        <v>7211</v>
      </c>
      <c r="N19" s="3" t="s">
        <v>6744</v>
      </c>
      <c r="O19" s="3" t="s">
        <v>7215</v>
      </c>
    </row>
    <row r="20">
      <c r="A20" s="3" t="s">
        <v>7218</v>
      </c>
      <c r="B20" s="3" t="s">
        <v>7220</v>
      </c>
      <c r="C20" s="3" t="s">
        <v>7222</v>
      </c>
      <c r="D20" s="3" t="s">
        <v>7223</v>
      </c>
      <c r="E20" s="3" t="s">
        <v>7224</v>
      </c>
      <c r="F20" s="3" t="s">
        <v>7225</v>
      </c>
      <c r="G20" s="3" t="s">
        <v>7227</v>
      </c>
      <c r="H20" s="3" t="s">
        <v>7229</v>
      </c>
      <c r="I20" s="3" t="s">
        <v>7231</v>
      </c>
      <c r="J20" s="3" t="s">
        <v>7233</v>
      </c>
      <c r="K20" s="3" t="s">
        <v>7235</v>
      </c>
      <c r="L20" s="3" t="s">
        <v>7185</v>
      </c>
      <c r="M20" s="3" t="s">
        <v>7238</v>
      </c>
      <c r="N20" s="3" t="s">
        <v>7239</v>
      </c>
      <c r="O20" s="3" t="s">
        <v>7248</v>
      </c>
    </row>
    <row r="21">
      <c r="A21" s="3" t="s">
        <v>7250</v>
      </c>
      <c r="B21" s="3" t="s">
        <v>7220</v>
      </c>
      <c r="C21" s="3" t="s">
        <v>7252</v>
      </c>
      <c r="D21" s="3" t="s">
        <v>7255</v>
      </c>
      <c r="E21" s="3" t="s">
        <v>7258</v>
      </c>
      <c r="F21" s="3" t="s">
        <v>7260</v>
      </c>
      <c r="G21" s="3" t="s">
        <v>7261</v>
      </c>
      <c r="H21" s="3" t="s">
        <v>7263</v>
      </c>
      <c r="I21" s="3" t="s">
        <v>7265</v>
      </c>
      <c r="J21" s="3" t="s">
        <v>7267</v>
      </c>
      <c r="K21" s="3" t="s">
        <v>7271</v>
      </c>
      <c r="L21" s="3" t="s">
        <v>7218</v>
      </c>
      <c r="M21" s="3" t="s">
        <v>7275</v>
      </c>
      <c r="N21" s="3" t="s">
        <v>6744</v>
      </c>
      <c r="O21" s="3" t="s">
        <v>7279</v>
      </c>
    </row>
    <row r="22">
      <c r="A22" s="3" t="s">
        <v>7281</v>
      </c>
      <c r="B22" s="3" t="s">
        <v>7282</v>
      </c>
      <c r="C22" s="3" t="s">
        <v>7284</v>
      </c>
      <c r="D22" s="3" t="s">
        <v>7287</v>
      </c>
      <c r="E22" s="3" t="s">
        <v>7290</v>
      </c>
      <c r="F22" s="3" t="s">
        <v>7292</v>
      </c>
      <c r="G22" s="3" t="s">
        <v>7295</v>
      </c>
      <c r="H22" s="3" t="s">
        <v>7297</v>
      </c>
      <c r="I22" s="3" t="s">
        <v>7299</v>
      </c>
      <c r="J22" s="3" t="s">
        <v>7309</v>
      </c>
      <c r="K22" s="3" t="s">
        <v>7311</v>
      </c>
      <c r="L22" s="3" t="s">
        <v>7313</v>
      </c>
      <c r="M22" s="3" t="s">
        <v>7314</v>
      </c>
      <c r="N22" s="3" t="s">
        <v>6470</v>
      </c>
      <c r="O22" s="3" t="s">
        <v>7316</v>
      </c>
    </row>
    <row r="23">
      <c r="A23" s="3" t="s">
        <v>7318</v>
      </c>
      <c r="B23" s="3" t="s">
        <v>7320</v>
      </c>
      <c r="C23" s="3" t="s">
        <v>7321</v>
      </c>
      <c r="D23" s="3" t="s">
        <v>7322</v>
      </c>
      <c r="E23" s="3" t="s">
        <v>7323</v>
      </c>
      <c r="F23" s="3" t="s">
        <v>7324</v>
      </c>
      <c r="G23" s="3" t="s">
        <v>7326</v>
      </c>
      <c r="H23" s="3" t="s">
        <v>7328</v>
      </c>
      <c r="I23" s="3" t="s">
        <v>7330</v>
      </c>
      <c r="J23" s="3" t="s">
        <v>7331</v>
      </c>
      <c r="K23" s="3" t="s">
        <v>7332</v>
      </c>
      <c r="L23" s="3" t="s">
        <v>7333</v>
      </c>
      <c r="M23" s="3" t="s">
        <v>7335</v>
      </c>
      <c r="N23" s="3" t="s">
        <v>7336</v>
      </c>
      <c r="O23" s="3" t="s">
        <v>7338</v>
      </c>
    </row>
  </sheetData>
  <autoFilter ref="$A$1:$O$2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6.38"/>
    <col customWidth="1" min="4" max="6" width="22.0"/>
    <col customWidth="1" min="7" max="10" width="33.88"/>
    <col customWidth="1" min="11" max="16" width="19.5"/>
    <col customWidth="1" min="17" max="20" width="28.88"/>
  </cols>
  <sheetData>
    <row r="1">
      <c r="A1" s="2" t="s">
        <v>6939</v>
      </c>
      <c r="B1" s="2" t="s">
        <v>6942</v>
      </c>
      <c r="C1" s="2" t="s">
        <v>495</v>
      </c>
      <c r="D1" s="2" t="s">
        <v>7</v>
      </c>
      <c r="E1" s="2" t="s">
        <v>9</v>
      </c>
      <c r="F1" s="2" t="s">
        <v>6952</v>
      </c>
      <c r="G1" s="2" t="s">
        <v>6955</v>
      </c>
      <c r="H1" s="2" t="s">
        <v>6959</v>
      </c>
      <c r="I1" s="2" t="s">
        <v>6963</v>
      </c>
      <c r="J1" s="2" t="s">
        <v>6966</v>
      </c>
      <c r="K1" s="2" t="s">
        <v>6968</v>
      </c>
      <c r="L1" s="2" t="s">
        <v>6973</v>
      </c>
      <c r="M1" s="2" t="s">
        <v>6976</v>
      </c>
      <c r="N1" s="2" t="s">
        <v>6980</v>
      </c>
      <c r="O1" s="2" t="s">
        <v>6983</v>
      </c>
      <c r="P1" s="2" t="s">
        <v>6986</v>
      </c>
      <c r="Q1" s="2" t="s">
        <v>6988</v>
      </c>
      <c r="R1" s="2" t="s">
        <v>6991</v>
      </c>
      <c r="S1" s="2" t="s">
        <v>6994</v>
      </c>
      <c r="T1" s="2" t="s">
        <v>6998</v>
      </c>
    </row>
    <row r="2">
      <c r="A2" s="3" t="s">
        <v>7003</v>
      </c>
      <c r="B2" s="3" t="s">
        <v>7007</v>
      </c>
      <c r="C2" s="3" t="s">
        <v>513</v>
      </c>
      <c r="D2" s="3" t="s">
        <v>47</v>
      </c>
      <c r="E2" s="3" t="s">
        <v>49</v>
      </c>
      <c r="F2" s="3" t="s">
        <v>7015</v>
      </c>
      <c r="G2" s="3" t="s">
        <v>7018</v>
      </c>
      <c r="H2" s="3" t="s">
        <v>518</v>
      </c>
      <c r="I2" s="3" t="s">
        <v>7021</v>
      </c>
      <c r="J2" s="3" t="s">
        <v>7023</v>
      </c>
      <c r="K2" s="3" t="s">
        <v>7037</v>
      </c>
      <c r="L2" s="3" t="s">
        <v>7043</v>
      </c>
      <c r="M2" s="3" t="s">
        <v>7046</v>
      </c>
      <c r="N2" s="3" t="s">
        <v>7049</v>
      </c>
      <c r="O2" s="3" t="s">
        <v>6409</v>
      </c>
      <c r="P2" s="3" t="s">
        <v>6739</v>
      </c>
      <c r="Q2" s="3" t="s">
        <v>7054</v>
      </c>
      <c r="R2" s="3" t="s">
        <v>62</v>
      </c>
      <c r="S2" s="3" t="s">
        <v>187</v>
      </c>
      <c r="T2" s="3" t="s">
        <v>7059</v>
      </c>
    </row>
    <row r="3">
      <c r="A3" s="3" t="s">
        <v>7065</v>
      </c>
      <c r="B3" s="3" t="s">
        <v>7069</v>
      </c>
      <c r="C3" s="3" t="s">
        <v>513</v>
      </c>
      <c r="D3" s="3" t="s">
        <v>47</v>
      </c>
      <c r="E3" s="3" t="s">
        <v>49</v>
      </c>
      <c r="F3" s="3" t="s">
        <v>1219</v>
      </c>
      <c r="G3" s="3" t="s">
        <v>7079</v>
      </c>
      <c r="H3" s="3" t="s">
        <v>518</v>
      </c>
      <c r="I3" s="3" t="s">
        <v>7084</v>
      </c>
      <c r="J3" s="3" t="s">
        <v>7088</v>
      </c>
      <c r="K3" s="3" t="s">
        <v>7037</v>
      </c>
      <c r="L3" s="3" t="s">
        <v>7043</v>
      </c>
      <c r="M3" s="3" t="s">
        <v>7046</v>
      </c>
      <c r="N3" s="3" t="s">
        <v>7049</v>
      </c>
      <c r="O3" s="3" t="s">
        <v>7095</v>
      </c>
      <c r="P3" s="3" t="s">
        <v>7097</v>
      </c>
      <c r="Q3" s="3" t="s">
        <v>7099</v>
      </c>
      <c r="R3" s="3" t="s">
        <v>62</v>
      </c>
      <c r="S3" s="3" t="s">
        <v>187</v>
      </c>
      <c r="T3" s="3" t="s">
        <v>7105</v>
      </c>
    </row>
    <row r="4">
      <c r="A4" s="3" t="s">
        <v>7109</v>
      </c>
      <c r="B4" s="3" t="s">
        <v>7111</v>
      </c>
      <c r="C4" s="3" t="s">
        <v>553</v>
      </c>
      <c r="D4" s="3" t="s">
        <v>47</v>
      </c>
      <c r="E4" s="3" t="s">
        <v>49</v>
      </c>
      <c r="F4" s="3" t="s">
        <v>7119</v>
      </c>
      <c r="G4" s="3" t="s">
        <v>7124</v>
      </c>
      <c r="H4" s="3" t="s">
        <v>7128</v>
      </c>
      <c r="I4" s="3" t="s">
        <v>7131</v>
      </c>
      <c r="J4" s="3" t="s">
        <v>7119</v>
      </c>
      <c r="K4" s="3" t="s">
        <v>7037</v>
      </c>
      <c r="L4" s="3" t="s">
        <v>7043</v>
      </c>
      <c r="M4" s="3" t="s">
        <v>7140</v>
      </c>
      <c r="N4" s="3" t="s">
        <v>7144</v>
      </c>
      <c r="O4" s="3" t="s">
        <v>6409</v>
      </c>
      <c r="P4" s="3" t="s">
        <v>7148</v>
      </c>
      <c r="Q4" s="3" t="s">
        <v>7151</v>
      </c>
      <c r="R4" s="3" t="s">
        <v>62</v>
      </c>
      <c r="S4" s="3" t="s">
        <v>187</v>
      </c>
      <c r="T4" s="3" t="s">
        <v>7158</v>
      </c>
    </row>
    <row r="5">
      <c r="A5" s="3" t="s">
        <v>7161</v>
      </c>
      <c r="B5" s="3" t="s">
        <v>7164</v>
      </c>
      <c r="C5" s="3" t="s">
        <v>553</v>
      </c>
      <c r="D5" s="3" t="s">
        <v>47</v>
      </c>
      <c r="E5" s="3" t="s">
        <v>49</v>
      </c>
      <c r="F5" s="3" t="s">
        <v>7175</v>
      </c>
      <c r="G5" s="3" t="s">
        <v>7179</v>
      </c>
      <c r="H5" s="3" t="s">
        <v>562</v>
      </c>
      <c r="I5" s="3" t="s">
        <v>7186</v>
      </c>
      <c r="J5" s="3" t="s">
        <v>7119</v>
      </c>
      <c r="K5" s="3" t="s">
        <v>7037</v>
      </c>
      <c r="L5" s="3" t="s">
        <v>7043</v>
      </c>
      <c r="M5" s="3" t="s">
        <v>7140</v>
      </c>
      <c r="N5" s="3" t="s">
        <v>7199</v>
      </c>
      <c r="O5" s="3" t="s">
        <v>6409</v>
      </c>
      <c r="P5" s="3" t="s">
        <v>6739</v>
      </c>
      <c r="Q5" s="3" t="s">
        <v>7207</v>
      </c>
      <c r="R5" s="3" t="s">
        <v>62</v>
      </c>
      <c r="S5" s="3" t="s">
        <v>187</v>
      </c>
      <c r="T5" s="3" t="s">
        <v>7213</v>
      </c>
    </row>
    <row r="6">
      <c r="A6" s="3" t="s">
        <v>7216</v>
      </c>
      <c r="B6" s="3" t="s">
        <v>7219</v>
      </c>
      <c r="C6" s="3" t="s">
        <v>574</v>
      </c>
      <c r="D6" s="3" t="s">
        <v>576</v>
      </c>
      <c r="E6" s="3" t="s">
        <v>49</v>
      </c>
      <c r="F6" s="3" t="s">
        <v>374</v>
      </c>
      <c r="G6" s="3" t="s">
        <v>7230</v>
      </c>
      <c r="H6" s="3" t="s">
        <v>6312</v>
      </c>
      <c r="I6" s="3" t="s">
        <v>7236</v>
      </c>
      <c r="J6" s="3" t="s">
        <v>7088</v>
      </c>
      <c r="K6" s="3" t="s">
        <v>7037</v>
      </c>
      <c r="L6" s="3" t="s">
        <v>7043</v>
      </c>
      <c r="M6" s="3" t="s">
        <v>7140</v>
      </c>
      <c r="N6" s="3" t="s">
        <v>7242</v>
      </c>
      <c r="O6" s="3" t="s">
        <v>6409</v>
      </c>
      <c r="P6" s="3" t="s">
        <v>7245</v>
      </c>
      <c r="Q6" s="3" t="s">
        <v>7247</v>
      </c>
      <c r="R6" s="3" t="s">
        <v>62</v>
      </c>
      <c r="S6" s="3" t="s">
        <v>187</v>
      </c>
      <c r="T6" s="3" t="s">
        <v>7253</v>
      </c>
    </row>
    <row r="7">
      <c r="A7" s="3" t="s">
        <v>7256</v>
      </c>
      <c r="B7" s="3" t="s">
        <v>7259</v>
      </c>
      <c r="C7" s="3" t="s">
        <v>574</v>
      </c>
      <c r="D7" s="3" t="s">
        <v>576</v>
      </c>
      <c r="E7" s="3" t="s">
        <v>49</v>
      </c>
      <c r="F7" s="3" t="s">
        <v>374</v>
      </c>
      <c r="G7" s="3" t="s">
        <v>7269</v>
      </c>
      <c r="H7" s="3" t="s">
        <v>562</v>
      </c>
      <c r="I7" s="3" t="s">
        <v>7273</v>
      </c>
      <c r="J7" s="3" t="s">
        <v>7023</v>
      </c>
      <c r="K7" s="3" t="s">
        <v>7037</v>
      </c>
      <c r="L7" s="3" t="s">
        <v>7043</v>
      </c>
      <c r="M7" s="3" t="s">
        <v>7140</v>
      </c>
      <c r="N7" s="3" t="s">
        <v>7286</v>
      </c>
      <c r="O7" s="3" t="s">
        <v>6409</v>
      </c>
      <c r="P7" s="3" t="s">
        <v>7245</v>
      </c>
      <c r="Q7" s="3" t="s">
        <v>7294</v>
      </c>
      <c r="R7" s="3" t="s">
        <v>62</v>
      </c>
      <c r="S7" s="3" t="s">
        <v>187</v>
      </c>
      <c r="T7" s="3" t="s">
        <v>7300</v>
      </c>
    </row>
    <row r="8">
      <c r="A8" s="3" t="s">
        <v>7302</v>
      </c>
      <c r="B8" s="3" t="s">
        <v>7304</v>
      </c>
      <c r="C8" s="3" t="s">
        <v>574</v>
      </c>
      <c r="D8" s="3" t="s">
        <v>576</v>
      </c>
      <c r="E8" s="3" t="s">
        <v>49</v>
      </c>
      <c r="F8" s="3" t="s">
        <v>5911</v>
      </c>
      <c r="G8" s="3" t="s">
        <v>7307</v>
      </c>
      <c r="H8" s="3" t="s">
        <v>562</v>
      </c>
      <c r="I8" s="3" t="s">
        <v>7308</v>
      </c>
      <c r="J8" s="3" t="s">
        <v>7023</v>
      </c>
      <c r="K8" s="3" t="s">
        <v>7037</v>
      </c>
      <c r="L8" s="3" t="s">
        <v>7043</v>
      </c>
      <c r="M8" s="3" t="s">
        <v>7140</v>
      </c>
      <c r="N8" s="3" t="s">
        <v>7286</v>
      </c>
      <c r="O8" s="3" t="s">
        <v>7095</v>
      </c>
      <c r="P8" s="3" t="s">
        <v>7310</v>
      </c>
      <c r="Q8" s="3" t="s">
        <v>7312</v>
      </c>
      <c r="R8" s="3" t="s">
        <v>62</v>
      </c>
      <c r="S8" s="3" t="s">
        <v>187</v>
      </c>
      <c r="T8" s="3" t="s">
        <v>7315</v>
      </c>
    </row>
    <row r="9">
      <c r="A9" s="3" t="s">
        <v>7317</v>
      </c>
      <c r="B9" s="3" t="s">
        <v>7319</v>
      </c>
      <c r="C9" s="3" t="s">
        <v>593</v>
      </c>
      <c r="D9" s="3" t="s">
        <v>47</v>
      </c>
      <c r="E9" s="3" t="s">
        <v>152</v>
      </c>
      <c r="F9" s="3" t="s">
        <v>374</v>
      </c>
      <c r="G9" s="3" t="s">
        <v>7325</v>
      </c>
      <c r="H9" s="3" t="s">
        <v>7327</v>
      </c>
      <c r="I9" s="3" t="s">
        <v>7329</v>
      </c>
      <c r="J9" s="3" t="s">
        <v>7023</v>
      </c>
      <c r="K9" s="3" t="s">
        <v>7037</v>
      </c>
      <c r="L9" s="3" t="s">
        <v>7043</v>
      </c>
      <c r="M9" s="3" t="s">
        <v>7334</v>
      </c>
      <c r="N9" s="3" t="s">
        <v>7337</v>
      </c>
      <c r="O9" s="3" t="s">
        <v>6409</v>
      </c>
      <c r="P9" s="3" t="s">
        <v>7339</v>
      </c>
      <c r="Q9" s="3" t="s">
        <v>7340</v>
      </c>
      <c r="R9" s="3" t="s">
        <v>471</v>
      </c>
      <c r="S9" s="3" t="s">
        <v>187</v>
      </c>
      <c r="T9" s="3" t="s">
        <v>7341</v>
      </c>
    </row>
    <row r="10">
      <c r="A10" s="3" t="s">
        <v>7343</v>
      </c>
      <c r="B10" s="3" t="s">
        <v>7345</v>
      </c>
      <c r="C10" s="3" t="s">
        <v>593</v>
      </c>
      <c r="D10" s="3" t="s">
        <v>47</v>
      </c>
      <c r="E10" s="3" t="s">
        <v>152</v>
      </c>
      <c r="F10" s="3" t="s">
        <v>374</v>
      </c>
      <c r="G10" s="3" t="s">
        <v>7348</v>
      </c>
      <c r="H10" s="3" t="s">
        <v>7327</v>
      </c>
      <c r="I10" s="3" t="s">
        <v>7350</v>
      </c>
      <c r="J10" s="3" t="s">
        <v>7023</v>
      </c>
      <c r="K10" s="3" t="s">
        <v>7037</v>
      </c>
      <c r="L10" s="3" t="s">
        <v>7043</v>
      </c>
      <c r="M10" s="3" t="s">
        <v>7334</v>
      </c>
      <c r="N10" s="3" t="s">
        <v>7337</v>
      </c>
      <c r="O10" s="3" t="s">
        <v>6409</v>
      </c>
      <c r="P10" s="3" t="s">
        <v>7339</v>
      </c>
      <c r="Q10" s="3" t="s">
        <v>7352</v>
      </c>
      <c r="R10" s="3" t="s">
        <v>471</v>
      </c>
      <c r="S10" s="3" t="s">
        <v>187</v>
      </c>
      <c r="T10" s="3" t="s">
        <v>7353</v>
      </c>
    </row>
    <row r="11">
      <c r="A11" s="3" t="s">
        <v>7354</v>
      </c>
      <c r="B11" s="3" t="s">
        <v>7355</v>
      </c>
      <c r="C11" s="3" t="s">
        <v>625</v>
      </c>
      <c r="D11" s="3" t="s">
        <v>47</v>
      </c>
      <c r="E11" s="3" t="s">
        <v>149</v>
      </c>
      <c r="F11" s="3" t="s">
        <v>7015</v>
      </c>
      <c r="G11" s="3" t="s">
        <v>7356</v>
      </c>
      <c r="H11" s="3" t="s">
        <v>518</v>
      </c>
      <c r="I11" s="3" t="s">
        <v>7357</v>
      </c>
      <c r="J11" s="3" t="s">
        <v>7023</v>
      </c>
      <c r="K11" s="3" t="s">
        <v>7037</v>
      </c>
      <c r="L11" s="3" t="s">
        <v>7043</v>
      </c>
      <c r="M11" s="3" t="s">
        <v>7358</v>
      </c>
      <c r="N11" s="3" t="s">
        <v>7359</v>
      </c>
      <c r="O11" s="3" t="s">
        <v>6409</v>
      </c>
      <c r="P11" s="3" t="s">
        <v>6739</v>
      </c>
      <c r="Q11" s="3" t="s">
        <v>7360</v>
      </c>
      <c r="R11" s="3" t="s">
        <v>62</v>
      </c>
      <c r="S11" s="3" t="s">
        <v>7361</v>
      </c>
      <c r="T11" s="3" t="s">
        <v>7362</v>
      </c>
    </row>
    <row r="12">
      <c r="A12" s="3" t="s">
        <v>7363</v>
      </c>
      <c r="B12" s="3" t="s">
        <v>7364</v>
      </c>
      <c r="C12" s="3" t="s">
        <v>625</v>
      </c>
      <c r="D12" s="3" t="s">
        <v>47</v>
      </c>
      <c r="E12" s="3" t="s">
        <v>149</v>
      </c>
      <c r="F12" s="3" t="s">
        <v>7015</v>
      </c>
      <c r="G12" s="3" t="s">
        <v>7365</v>
      </c>
      <c r="H12" s="3" t="s">
        <v>518</v>
      </c>
      <c r="I12" s="3" t="s">
        <v>7366</v>
      </c>
      <c r="J12" s="3" t="s">
        <v>7023</v>
      </c>
      <c r="K12" s="3" t="s">
        <v>7037</v>
      </c>
      <c r="L12" s="3" t="s">
        <v>7043</v>
      </c>
      <c r="M12" s="3" t="s">
        <v>7358</v>
      </c>
      <c r="N12" s="3" t="s">
        <v>7359</v>
      </c>
      <c r="O12" s="3" t="s">
        <v>6409</v>
      </c>
      <c r="P12" s="3" t="s">
        <v>6739</v>
      </c>
      <c r="Q12" s="3" t="s">
        <v>7372</v>
      </c>
      <c r="R12" s="3" t="s">
        <v>62</v>
      </c>
      <c r="S12" s="3" t="s">
        <v>7361</v>
      </c>
      <c r="T12" s="3" t="s">
        <v>7373</v>
      </c>
    </row>
    <row r="13">
      <c r="A13" s="3" t="s">
        <v>7374</v>
      </c>
      <c r="B13" s="3" t="s">
        <v>7375</v>
      </c>
      <c r="C13" s="3" t="s">
        <v>625</v>
      </c>
      <c r="D13" s="3" t="s">
        <v>47</v>
      </c>
      <c r="E13" s="3" t="s">
        <v>149</v>
      </c>
      <c r="F13" s="3" t="s">
        <v>1219</v>
      </c>
      <c r="G13" s="3" t="s">
        <v>7376</v>
      </c>
      <c r="H13" s="3" t="s">
        <v>518</v>
      </c>
      <c r="I13" s="3" t="s">
        <v>7377</v>
      </c>
      <c r="J13" s="3" t="s">
        <v>7023</v>
      </c>
      <c r="K13" s="3" t="s">
        <v>7037</v>
      </c>
      <c r="L13" s="3" t="s">
        <v>7043</v>
      </c>
      <c r="M13" s="3" t="s">
        <v>7358</v>
      </c>
      <c r="N13" s="3" t="s">
        <v>7359</v>
      </c>
      <c r="O13" s="3" t="s">
        <v>7378</v>
      </c>
      <c r="P13" s="3" t="s">
        <v>7379</v>
      </c>
      <c r="Q13" s="3" t="s">
        <v>7380</v>
      </c>
      <c r="R13" s="3" t="s">
        <v>62</v>
      </c>
      <c r="S13" s="3" t="s">
        <v>7361</v>
      </c>
      <c r="T13" s="3" t="s">
        <v>7381</v>
      </c>
    </row>
    <row r="14">
      <c r="A14" s="3" t="s">
        <v>7382</v>
      </c>
      <c r="B14" s="3" t="s">
        <v>7383</v>
      </c>
      <c r="C14" s="3" t="s">
        <v>625</v>
      </c>
      <c r="D14" s="3" t="s">
        <v>47</v>
      </c>
      <c r="E14" s="3" t="s">
        <v>149</v>
      </c>
      <c r="F14" s="3" t="s">
        <v>7384</v>
      </c>
      <c r="G14" s="3" t="s">
        <v>7385</v>
      </c>
      <c r="H14" s="3" t="s">
        <v>518</v>
      </c>
      <c r="I14" s="3" t="s">
        <v>7386</v>
      </c>
      <c r="J14" s="3" t="s">
        <v>7023</v>
      </c>
      <c r="K14" s="3" t="s">
        <v>7037</v>
      </c>
      <c r="L14" s="3" t="s">
        <v>7043</v>
      </c>
      <c r="M14" s="3" t="s">
        <v>7358</v>
      </c>
      <c r="N14" s="3" t="s">
        <v>7387</v>
      </c>
      <c r="O14" s="3" t="s">
        <v>6409</v>
      </c>
      <c r="P14" s="3" t="s">
        <v>7388</v>
      </c>
      <c r="Q14" s="3" t="s">
        <v>7389</v>
      </c>
      <c r="R14" s="3" t="s">
        <v>62</v>
      </c>
      <c r="S14" s="3" t="s">
        <v>187</v>
      </c>
      <c r="T14" s="3" t="s">
        <v>7390</v>
      </c>
    </row>
    <row r="15">
      <c r="A15" s="3" t="s">
        <v>7392</v>
      </c>
      <c r="B15" s="3" t="s">
        <v>7394</v>
      </c>
      <c r="C15" s="3" t="s">
        <v>656</v>
      </c>
      <c r="D15" s="3" t="s">
        <v>576</v>
      </c>
      <c r="E15" s="3" t="s">
        <v>155</v>
      </c>
      <c r="F15" s="3" t="s">
        <v>374</v>
      </c>
      <c r="G15" s="3" t="s">
        <v>7397</v>
      </c>
      <c r="H15" s="3" t="s">
        <v>7399</v>
      </c>
      <c r="I15" s="3" t="s">
        <v>7401</v>
      </c>
      <c r="J15" s="3" t="s">
        <v>7088</v>
      </c>
      <c r="K15" s="3" t="s">
        <v>7037</v>
      </c>
      <c r="L15" s="3" t="s">
        <v>7043</v>
      </c>
      <c r="M15" s="3" t="s">
        <v>7402</v>
      </c>
      <c r="N15" s="3" t="s">
        <v>7403</v>
      </c>
      <c r="O15" s="3" t="s">
        <v>6409</v>
      </c>
      <c r="P15" s="3" t="s">
        <v>7404</v>
      </c>
      <c r="Q15" s="3" t="s">
        <v>7405</v>
      </c>
      <c r="R15" s="3" t="s">
        <v>471</v>
      </c>
      <c r="S15" s="3" t="s">
        <v>7406</v>
      </c>
      <c r="T15" s="3" t="s">
        <v>7407</v>
      </c>
    </row>
    <row r="16">
      <c r="A16" s="3" t="s">
        <v>7408</v>
      </c>
      <c r="B16" s="3" t="s">
        <v>7409</v>
      </c>
      <c r="C16" s="3" t="s">
        <v>656</v>
      </c>
      <c r="D16" s="3" t="s">
        <v>576</v>
      </c>
      <c r="E16" s="3" t="s">
        <v>155</v>
      </c>
      <c r="F16" s="3" t="s">
        <v>374</v>
      </c>
      <c r="G16" s="3" t="s">
        <v>7410</v>
      </c>
      <c r="H16" s="3" t="s">
        <v>7399</v>
      </c>
      <c r="I16" s="3" t="s">
        <v>7411</v>
      </c>
      <c r="J16" s="3" t="s">
        <v>7088</v>
      </c>
      <c r="K16" s="3" t="s">
        <v>7037</v>
      </c>
      <c r="L16" s="3" t="s">
        <v>7043</v>
      </c>
      <c r="M16" s="3" t="s">
        <v>7402</v>
      </c>
      <c r="N16" s="3" t="s">
        <v>7412</v>
      </c>
      <c r="O16" s="3" t="s">
        <v>6409</v>
      </c>
      <c r="P16" s="3" t="s">
        <v>6739</v>
      </c>
      <c r="Q16" s="3" t="s">
        <v>7413</v>
      </c>
      <c r="R16" s="3" t="s">
        <v>471</v>
      </c>
      <c r="S16" s="3" t="s">
        <v>187</v>
      </c>
      <c r="T16" s="3" t="s">
        <v>7414</v>
      </c>
    </row>
    <row r="17">
      <c r="A17" s="3" t="s">
        <v>7415</v>
      </c>
      <c r="B17" s="3" t="s">
        <v>7416</v>
      </c>
      <c r="C17" s="3" t="s">
        <v>684</v>
      </c>
      <c r="D17" s="3" t="s">
        <v>576</v>
      </c>
      <c r="E17" s="3" t="s">
        <v>155</v>
      </c>
      <c r="F17" s="3" t="s">
        <v>5911</v>
      </c>
      <c r="G17" s="3" t="s">
        <v>7417</v>
      </c>
      <c r="H17" s="3" t="s">
        <v>6920</v>
      </c>
      <c r="I17" s="3" t="s">
        <v>7419</v>
      </c>
      <c r="J17" s="3" t="s">
        <v>7088</v>
      </c>
      <c r="K17" s="3" t="s">
        <v>7037</v>
      </c>
      <c r="L17" s="3" t="s">
        <v>7043</v>
      </c>
      <c r="M17" s="3" t="s">
        <v>7402</v>
      </c>
      <c r="N17" s="3" t="s">
        <v>7421</v>
      </c>
      <c r="O17" s="3" t="s">
        <v>6409</v>
      </c>
      <c r="P17" s="3" t="s">
        <v>7423</v>
      </c>
      <c r="Q17" s="3" t="s">
        <v>7425</v>
      </c>
      <c r="R17" s="3" t="s">
        <v>471</v>
      </c>
      <c r="S17" s="3" t="s">
        <v>187</v>
      </c>
      <c r="T17" s="3" t="s">
        <v>7429</v>
      </c>
    </row>
    <row r="18">
      <c r="A18" s="3" t="s">
        <v>7433</v>
      </c>
      <c r="B18" s="3" t="s">
        <v>7436</v>
      </c>
      <c r="C18" s="3" t="s">
        <v>684</v>
      </c>
      <c r="D18" s="3" t="s">
        <v>576</v>
      </c>
      <c r="E18" s="3" t="s">
        <v>155</v>
      </c>
      <c r="F18" s="3" t="s">
        <v>374</v>
      </c>
      <c r="G18" s="3" t="s">
        <v>7446</v>
      </c>
      <c r="H18" s="3" t="s">
        <v>6920</v>
      </c>
      <c r="I18" s="3" t="s">
        <v>7450</v>
      </c>
      <c r="J18" s="3" t="s">
        <v>7023</v>
      </c>
      <c r="K18" s="3" t="s">
        <v>7037</v>
      </c>
      <c r="L18" s="3" t="s">
        <v>7043</v>
      </c>
      <c r="M18" s="3" t="s">
        <v>7402</v>
      </c>
      <c r="N18" s="3" t="s">
        <v>7454</v>
      </c>
      <c r="O18" s="3" t="s">
        <v>6409</v>
      </c>
      <c r="P18" s="3" t="s">
        <v>7423</v>
      </c>
      <c r="Q18" s="3" t="s">
        <v>7458</v>
      </c>
      <c r="R18" s="3" t="s">
        <v>471</v>
      </c>
      <c r="S18" s="3" t="s">
        <v>187</v>
      </c>
      <c r="T18" s="3" t="s">
        <v>7465</v>
      </c>
    </row>
    <row r="19">
      <c r="A19" s="3" t="s">
        <v>7468</v>
      </c>
      <c r="B19" s="3" t="s">
        <v>7471</v>
      </c>
      <c r="C19" s="3" t="s">
        <v>684</v>
      </c>
      <c r="D19" s="3" t="s">
        <v>576</v>
      </c>
      <c r="E19" s="3" t="s">
        <v>155</v>
      </c>
      <c r="F19" s="3" t="s">
        <v>5911</v>
      </c>
      <c r="G19" s="3" t="s">
        <v>7478</v>
      </c>
      <c r="H19" s="3" t="s">
        <v>6920</v>
      </c>
      <c r="I19" s="3" t="s">
        <v>7479</v>
      </c>
      <c r="J19" s="3" t="s">
        <v>7023</v>
      </c>
      <c r="K19" s="3" t="s">
        <v>7037</v>
      </c>
      <c r="L19" s="3" t="s">
        <v>7043</v>
      </c>
      <c r="M19" s="3" t="s">
        <v>7402</v>
      </c>
      <c r="N19" s="3" t="s">
        <v>7454</v>
      </c>
      <c r="O19" s="3" t="s">
        <v>7480</v>
      </c>
      <c r="P19" s="3" t="s">
        <v>7481</v>
      </c>
      <c r="Q19" s="3" t="s">
        <v>7482</v>
      </c>
      <c r="R19" s="3" t="s">
        <v>471</v>
      </c>
      <c r="S19" s="3" t="s">
        <v>187</v>
      </c>
      <c r="T19" s="3" t="s">
        <v>7483</v>
      </c>
    </row>
    <row r="20">
      <c r="A20" s="3" t="s">
        <v>7484</v>
      </c>
      <c r="B20" s="3" t="s">
        <v>7485</v>
      </c>
      <c r="C20" s="3" t="s">
        <v>702</v>
      </c>
      <c r="D20" s="3" t="s">
        <v>47</v>
      </c>
      <c r="E20" s="3" t="s">
        <v>152</v>
      </c>
      <c r="F20" s="3" t="s">
        <v>374</v>
      </c>
      <c r="G20" s="3" t="s">
        <v>7486</v>
      </c>
      <c r="H20" s="3" t="s">
        <v>632</v>
      </c>
      <c r="I20" s="3" t="s">
        <v>7487</v>
      </c>
      <c r="J20" s="3" t="s">
        <v>7088</v>
      </c>
      <c r="K20" s="3" t="s">
        <v>7037</v>
      </c>
      <c r="L20" s="3" t="s">
        <v>7043</v>
      </c>
      <c r="M20" s="3" t="s">
        <v>7402</v>
      </c>
      <c r="N20" s="3" t="s">
        <v>7488</v>
      </c>
      <c r="O20" s="3" t="s">
        <v>6409</v>
      </c>
      <c r="P20" s="3" t="s">
        <v>7339</v>
      </c>
      <c r="Q20" s="3" t="s">
        <v>7489</v>
      </c>
      <c r="R20" s="3" t="s">
        <v>471</v>
      </c>
      <c r="S20" s="3" t="s">
        <v>187</v>
      </c>
      <c r="T20" s="3" t="s">
        <v>7490</v>
      </c>
    </row>
    <row r="21">
      <c r="A21" s="3" t="s">
        <v>7491</v>
      </c>
      <c r="B21" s="3" t="s">
        <v>7492</v>
      </c>
      <c r="C21" s="3" t="s">
        <v>702</v>
      </c>
      <c r="D21" s="3" t="s">
        <v>47</v>
      </c>
      <c r="E21" s="3" t="s">
        <v>152</v>
      </c>
      <c r="F21" s="3" t="s">
        <v>374</v>
      </c>
      <c r="G21" s="3" t="s">
        <v>7496</v>
      </c>
      <c r="H21" s="3" t="s">
        <v>7497</v>
      </c>
      <c r="I21" s="3" t="s">
        <v>7499</v>
      </c>
      <c r="J21" s="3" t="s">
        <v>7023</v>
      </c>
      <c r="K21" s="3" t="s">
        <v>7037</v>
      </c>
      <c r="L21" s="3" t="s">
        <v>7043</v>
      </c>
      <c r="M21" s="3" t="s">
        <v>7402</v>
      </c>
      <c r="N21" s="3" t="s">
        <v>7502</v>
      </c>
      <c r="O21" s="3" t="s">
        <v>6409</v>
      </c>
      <c r="P21" s="3" t="s">
        <v>7503</v>
      </c>
      <c r="Q21" s="3" t="s">
        <v>7505</v>
      </c>
      <c r="R21" s="3" t="s">
        <v>471</v>
      </c>
      <c r="S21" s="3" t="s">
        <v>187</v>
      </c>
      <c r="T21" s="3" t="s">
        <v>7507</v>
      </c>
    </row>
    <row r="22">
      <c r="A22" s="3" t="s">
        <v>7509</v>
      </c>
      <c r="B22" s="3" t="s">
        <v>7511</v>
      </c>
      <c r="C22" s="3" t="s">
        <v>712</v>
      </c>
      <c r="D22" s="3" t="s">
        <v>713</v>
      </c>
      <c r="E22" s="3" t="s">
        <v>543</v>
      </c>
      <c r="F22" s="3" t="s">
        <v>374</v>
      </c>
      <c r="G22" s="3" t="s">
        <v>7515</v>
      </c>
      <c r="H22" s="3" t="s">
        <v>562</v>
      </c>
      <c r="I22" s="3" t="s">
        <v>7517</v>
      </c>
      <c r="J22" s="3" t="s">
        <v>7088</v>
      </c>
      <c r="K22" s="3" t="s">
        <v>7037</v>
      </c>
      <c r="L22" s="3" t="s">
        <v>7520</v>
      </c>
      <c r="M22" s="3" t="s">
        <v>7521</v>
      </c>
      <c r="N22" s="3" t="s">
        <v>7522</v>
      </c>
      <c r="O22" s="3" t="s">
        <v>6409</v>
      </c>
      <c r="P22" s="3" t="s">
        <v>7523</v>
      </c>
      <c r="Q22" s="3" t="s">
        <v>1266</v>
      </c>
      <c r="R22" s="3" t="s">
        <v>471</v>
      </c>
      <c r="S22" s="3" t="s">
        <v>7524</v>
      </c>
      <c r="T22" s="3" t="s">
        <v>7525</v>
      </c>
    </row>
    <row r="23">
      <c r="A23" s="3" t="s">
        <v>7526</v>
      </c>
      <c r="B23" s="3" t="s">
        <v>7527</v>
      </c>
      <c r="C23" s="3" t="s">
        <v>712</v>
      </c>
      <c r="D23" s="3" t="s">
        <v>713</v>
      </c>
      <c r="E23" s="3" t="s">
        <v>543</v>
      </c>
      <c r="F23" s="3" t="s">
        <v>1219</v>
      </c>
      <c r="G23" s="3" t="s">
        <v>7528</v>
      </c>
      <c r="H23" s="3" t="s">
        <v>1681</v>
      </c>
      <c r="I23" s="3" t="s">
        <v>7529</v>
      </c>
      <c r="J23" s="3" t="s">
        <v>7088</v>
      </c>
      <c r="K23" s="3" t="s">
        <v>7037</v>
      </c>
      <c r="L23" s="3" t="s">
        <v>7530</v>
      </c>
      <c r="M23" s="3" t="s">
        <v>7521</v>
      </c>
      <c r="N23" s="3" t="s">
        <v>7522</v>
      </c>
      <c r="O23" s="3" t="s">
        <v>6409</v>
      </c>
      <c r="P23" s="3" t="s">
        <v>7533</v>
      </c>
      <c r="Q23" s="3" t="s">
        <v>7535</v>
      </c>
      <c r="R23" s="3" t="s">
        <v>471</v>
      </c>
      <c r="S23" s="3" t="s">
        <v>187</v>
      </c>
      <c r="T23" s="3" t="s">
        <v>7538</v>
      </c>
    </row>
    <row r="24">
      <c r="A24" s="3" t="s">
        <v>7540</v>
      </c>
      <c r="B24" s="3" t="s">
        <v>7542</v>
      </c>
      <c r="C24" s="3" t="s">
        <v>726</v>
      </c>
      <c r="D24" s="3" t="s">
        <v>713</v>
      </c>
      <c r="E24" s="3" t="s">
        <v>543</v>
      </c>
      <c r="F24" s="3" t="s">
        <v>7543</v>
      </c>
      <c r="G24" s="3" t="s">
        <v>7544</v>
      </c>
      <c r="H24" s="3" t="s">
        <v>562</v>
      </c>
      <c r="I24" s="3" t="s">
        <v>7545</v>
      </c>
      <c r="J24" s="3" t="s">
        <v>7088</v>
      </c>
      <c r="K24" s="3" t="s">
        <v>7037</v>
      </c>
      <c r="L24" s="3" t="s">
        <v>7043</v>
      </c>
      <c r="M24" s="3" t="s">
        <v>7546</v>
      </c>
      <c r="N24" s="3" t="s">
        <v>7547</v>
      </c>
      <c r="O24" s="3" t="s">
        <v>6409</v>
      </c>
      <c r="P24" s="3" t="s">
        <v>6739</v>
      </c>
      <c r="Q24" s="3" t="s">
        <v>1277</v>
      </c>
      <c r="R24" s="3" t="s">
        <v>471</v>
      </c>
      <c r="S24" s="3" t="s">
        <v>7548</v>
      </c>
      <c r="T24" s="3" t="s">
        <v>7549</v>
      </c>
    </row>
    <row r="25">
      <c r="A25" s="3" t="s">
        <v>7550</v>
      </c>
      <c r="B25" s="3" t="s">
        <v>7551</v>
      </c>
      <c r="C25" s="3" t="s">
        <v>726</v>
      </c>
      <c r="D25" s="3" t="s">
        <v>713</v>
      </c>
      <c r="E25" s="3" t="s">
        <v>543</v>
      </c>
      <c r="F25" s="3" t="s">
        <v>7552</v>
      </c>
      <c r="G25" s="3" t="s">
        <v>7553</v>
      </c>
      <c r="H25" s="3" t="s">
        <v>562</v>
      </c>
      <c r="I25" s="3" t="s">
        <v>7554</v>
      </c>
      <c r="J25" s="3" t="s">
        <v>7088</v>
      </c>
      <c r="K25" s="3" t="s">
        <v>7037</v>
      </c>
      <c r="L25" s="3" t="s">
        <v>7043</v>
      </c>
      <c r="M25" s="3" t="s">
        <v>7546</v>
      </c>
      <c r="N25" s="3" t="s">
        <v>7547</v>
      </c>
      <c r="O25" s="3" t="s">
        <v>6409</v>
      </c>
      <c r="P25" s="3" t="s">
        <v>7559</v>
      </c>
      <c r="Q25" s="3" t="s">
        <v>7562</v>
      </c>
      <c r="R25" s="3" t="s">
        <v>471</v>
      </c>
      <c r="S25" s="3" t="s">
        <v>187</v>
      </c>
      <c r="T25" s="3" t="s">
        <v>7565</v>
      </c>
    </row>
    <row r="26">
      <c r="A26" s="3" t="s">
        <v>7570</v>
      </c>
      <c r="B26" s="3" t="s">
        <v>7575</v>
      </c>
      <c r="C26" s="3" t="s">
        <v>625</v>
      </c>
      <c r="D26" s="3" t="s">
        <v>47</v>
      </c>
      <c r="E26" s="3" t="s">
        <v>149</v>
      </c>
      <c r="F26" s="3" t="s">
        <v>7175</v>
      </c>
      <c r="G26" s="3" t="s">
        <v>7583</v>
      </c>
      <c r="H26" s="3" t="s">
        <v>562</v>
      </c>
      <c r="I26" s="3" t="s">
        <v>7586</v>
      </c>
      <c r="J26" s="3" t="s">
        <v>7119</v>
      </c>
      <c r="K26" s="3" t="s">
        <v>7037</v>
      </c>
      <c r="L26" s="3" t="s">
        <v>7043</v>
      </c>
      <c r="M26" s="3" t="s">
        <v>7546</v>
      </c>
      <c r="N26" s="3" t="s">
        <v>7588</v>
      </c>
      <c r="O26" s="3" t="s">
        <v>6409</v>
      </c>
      <c r="P26" s="3" t="s">
        <v>6739</v>
      </c>
      <c r="Q26" s="3" t="s">
        <v>7590</v>
      </c>
      <c r="R26" s="3" t="s">
        <v>62</v>
      </c>
      <c r="S26" s="3" t="s">
        <v>7593</v>
      </c>
      <c r="T26" s="3" t="s">
        <v>7595</v>
      </c>
    </row>
    <row r="27">
      <c r="A27" s="3" t="s">
        <v>7597</v>
      </c>
      <c r="B27" s="3" t="s">
        <v>7598</v>
      </c>
      <c r="C27" s="3" t="s">
        <v>739</v>
      </c>
      <c r="D27" s="3" t="s">
        <v>740</v>
      </c>
      <c r="E27" s="3" t="s">
        <v>158</v>
      </c>
      <c r="F27" s="3" t="s">
        <v>7543</v>
      </c>
      <c r="G27" s="3" t="s">
        <v>7600</v>
      </c>
      <c r="H27" s="3" t="s">
        <v>1681</v>
      </c>
      <c r="I27" s="3" t="s">
        <v>7603</v>
      </c>
      <c r="J27" s="3" t="s">
        <v>7088</v>
      </c>
      <c r="K27" s="3" t="s">
        <v>7037</v>
      </c>
      <c r="L27" s="3" t="s">
        <v>7043</v>
      </c>
      <c r="M27" s="3" t="s">
        <v>7546</v>
      </c>
      <c r="N27" s="3" t="s">
        <v>7607</v>
      </c>
      <c r="O27" s="3" t="s">
        <v>6409</v>
      </c>
      <c r="P27" s="3" t="s">
        <v>6739</v>
      </c>
      <c r="Q27" s="3" t="s">
        <v>5932</v>
      </c>
      <c r="R27" s="3" t="s">
        <v>471</v>
      </c>
      <c r="S27" s="3" t="s">
        <v>7614</v>
      </c>
      <c r="T27" s="3" t="s">
        <v>7617</v>
      </c>
    </row>
    <row r="28">
      <c r="A28" s="3" t="s">
        <v>7620</v>
      </c>
      <c r="B28" s="3" t="s">
        <v>7622</v>
      </c>
      <c r="C28" s="3" t="s">
        <v>739</v>
      </c>
      <c r="D28" s="3" t="s">
        <v>740</v>
      </c>
      <c r="E28" s="3" t="s">
        <v>158</v>
      </c>
      <c r="F28" s="3" t="s">
        <v>7015</v>
      </c>
      <c r="G28" s="3" t="s">
        <v>7631</v>
      </c>
      <c r="H28" s="3" t="s">
        <v>747</v>
      </c>
      <c r="I28" s="3" t="s">
        <v>7634</v>
      </c>
      <c r="J28" s="3" t="s">
        <v>7088</v>
      </c>
      <c r="K28" s="3" t="s">
        <v>7037</v>
      </c>
      <c r="L28" s="3" t="s">
        <v>7043</v>
      </c>
      <c r="M28" s="3" t="s">
        <v>7640</v>
      </c>
      <c r="N28" s="3" t="s">
        <v>7643</v>
      </c>
      <c r="O28" s="3" t="s">
        <v>6409</v>
      </c>
      <c r="P28" s="3" t="s">
        <v>6739</v>
      </c>
      <c r="Q28" s="3" t="s">
        <v>7647</v>
      </c>
      <c r="R28" s="3" t="s">
        <v>62</v>
      </c>
      <c r="S28" s="3" t="s">
        <v>7651</v>
      </c>
      <c r="T28" s="3" t="s">
        <v>7652</v>
      </c>
    </row>
    <row r="29">
      <c r="A29" s="3" t="s">
        <v>7654</v>
      </c>
      <c r="B29" s="3" t="s">
        <v>7656</v>
      </c>
      <c r="C29" s="3" t="s">
        <v>757</v>
      </c>
      <c r="D29" s="3" t="s">
        <v>84</v>
      </c>
      <c r="E29" s="3" t="s">
        <v>580</v>
      </c>
      <c r="F29" s="3" t="s">
        <v>7661</v>
      </c>
      <c r="G29" s="3" t="s">
        <v>7663</v>
      </c>
      <c r="H29" s="3" t="s">
        <v>763</v>
      </c>
      <c r="I29" s="3" t="s">
        <v>7666</v>
      </c>
      <c r="J29" s="3" t="s">
        <v>7023</v>
      </c>
      <c r="K29" s="3" t="s">
        <v>7037</v>
      </c>
      <c r="L29" s="3" t="s">
        <v>7043</v>
      </c>
      <c r="M29" s="3" t="s">
        <v>7640</v>
      </c>
      <c r="N29" s="3" t="s">
        <v>7672</v>
      </c>
      <c r="O29" s="3" t="s">
        <v>6409</v>
      </c>
      <c r="P29" s="3" t="s">
        <v>7677</v>
      </c>
      <c r="Q29" s="3" t="s">
        <v>7681</v>
      </c>
      <c r="R29" s="3" t="s">
        <v>471</v>
      </c>
      <c r="S29" s="3" t="s">
        <v>187</v>
      </c>
      <c r="T29" s="3" t="s">
        <v>7688</v>
      </c>
    </row>
    <row r="30">
      <c r="A30" s="3" t="s">
        <v>7691</v>
      </c>
      <c r="B30" s="3" t="s">
        <v>7694</v>
      </c>
      <c r="C30" s="3" t="s">
        <v>782</v>
      </c>
      <c r="D30" s="3" t="s">
        <v>84</v>
      </c>
      <c r="E30" s="3" t="s">
        <v>617</v>
      </c>
      <c r="F30" s="3" t="s">
        <v>7661</v>
      </c>
      <c r="G30" s="3" t="s">
        <v>7701</v>
      </c>
      <c r="H30" s="3" t="s">
        <v>788</v>
      </c>
      <c r="I30" s="3" t="s">
        <v>7704</v>
      </c>
      <c r="J30" s="3" t="s">
        <v>7023</v>
      </c>
      <c r="K30" s="3" t="s">
        <v>7037</v>
      </c>
      <c r="L30" s="3" t="s">
        <v>7043</v>
      </c>
      <c r="M30" s="3" t="s">
        <v>7640</v>
      </c>
      <c r="N30" s="3" t="s">
        <v>7709</v>
      </c>
      <c r="O30" s="3" t="s">
        <v>6409</v>
      </c>
      <c r="P30" s="3" t="s">
        <v>6739</v>
      </c>
      <c r="Q30" s="3" t="s">
        <v>7715</v>
      </c>
      <c r="R30" s="3" t="s">
        <v>471</v>
      </c>
      <c r="S30" s="3" t="s">
        <v>187</v>
      </c>
      <c r="T30" s="3" t="s">
        <v>7719</v>
      </c>
    </row>
    <row r="31">
      <c r="A31" s="3" t="s">
        <v>7721</v>
      </c>
      <c r="B31" s="3" t="s">
        <v>7724</v>
      </c>
      <c r="C31" s="3" t="s">
        <v>782</v>
      </c>
      <c r="D31" s="3" t="s">
        <v>84</v>
      </c>
      <c r="E31" s="3" t="s">
        <v>617</v>
      </c>
      <c r="F31" s="3" t="s">
        <v>7661</v>
      </c>
      <c r="G31" s="3" t="s">
        <v>7730</v>
      </c>
      <c r="H31" s="3" t="s">
        <v>788</v>
      </c>
      <c r="I31" s="3" t="s">
        <v>7734</v>
      </c>
      <c r="J31" s="3" t="s">
        <v>7023</v>
      </c>
      <c r="K31" s="3" t="s">
        <v>7037</v>
      </c>
      <c r="L31" s="3" t="s">
        <v>7043</v>
      </c>
      <c r="M31" s="3" t="s">
        <v>7739</v>
      </c>
      <c r="N31" s="3" t="s">
        <v>7741</v>
      </c>
      <c r="O31" s="3" t="s">
        <v>6409</v>
      </c>
      <c r="P31" s="3" t="s">
        <v>6739</v>
      </c>
      <c r="Q31" s="3" t="s">
        <v>7743</v>
      </c>
      <c r="R31" s="3" t="s">
        <v>471</v>
      </c>
      <c r="S31" s="3" t="s">
        <v>187</v>
      </c>
      <c r="T31" s="3" t="s">
        <v>7748</v>
      </c>
    </row>
    <row r="32">
      <c r="A32" s="3" t="s">
        <v>7749</v>
      </c>
      <c r="B32" s="3" t="s">
        <v>7750</v>
      </c>
      <c r="C32" s="3" t="s">
        <v>798</v>
      </c>
      <c r="D32" s="3" t="s">
        <v>84</v>
      </c>
      <c r="E32" s="3" t="s">
        <v>621</v>
      </c>
      <c r="F32" s="3" t="s">
        <v>7661</v>
      </c>
      <c r="G32" s="3" t="s">
        <v>7751</v>
      </c>
      <c r="H32" s="3" t="s">
        <v>788</v>
      </c>
      <c r="I32" s="3" t="s">
        <v>7752</v>
      </c>
      <c r="J32" s="3" t="s">
        <v>7023</v>
      </c>
      <c r="K32" s="3" t="s">
        <v>7037</v>
      </c>
      <c r="L32" s="3" t="s">
        <v>7043</v>
      </c>
      <c r="M32" s="3" t="s">
        <v>7739</v>
      </c>
      <c r="N32" s="3" t="s">
        <v>7753</v>
      </c>
      <c r="O32" s="3" t="s">
        <v>6409</v>
      </c>
      <c r="P32" s="3" t="s">
        <v>7754</v>
      </c>
      <c r="Q32" s="3" t="s">
        <v>7755</v>
      </c>
      <c r="R32" s="3" t="s">
        <v>471</v>
      </c>
      <c r="S32" s="3" t="s">
        <v>187</v>
      </c>
      <c r="T32" s="3" t="s">
        <v>7756</v>
      </c>
    </row>
    <row r="33">
      <c r="A33" s="3" t="s">
        <v>7757</v>
      </c>
      <c r="B33" s="3" t="s">
        <v>7758</v>
      </c>
      <c r="C33" s="3" t="s">
        <v>816</v>
      </c>
      <c r="D33" s="3" t="s">
        <v>817</v>
      </c>
      <c r="E33" s="3" t="s">
        <v>634</v>
      </c>
      <c r="F33" s="3" t="s">
        <v>7015</v>
      </c>
      <c r="G33" s="3" t="s">
        <v>7759</v>
      </c>
      <c r="H33" s="3" t="s">
        <v>763</v>
      </c>
      <c r="I33" s="3" t="s">
        <v>7761</v>
      </c>
      <c r="J33" s="3" t="s">
        <v>7088</v>
      </c>
      <c r="K33" s="3" t="s">
        <v>7037</v>
      </c>
      <c r="L33" s="3" t="s">
        <v>7043</v>
      </c>
      <c r="M33" s="3" t="s">
        <v>7768</v>
      </c>
      <c r="N33" s="3" t="s">
        <v>7770</v>
      </c>
      <c r="O33" s="3" t="s">
        <v>6409</v>
      </c>
      <c r="P33" s="3" t="s">
        <v>6739</v>
      </c>
      <c r="Q33" s="3" t="s">
        <v>7777</v>
      </c>
      <c r="R33" s="3" t="s">
        <v>471</v>
      </c>
      <c r="S33" s="3" t="s">
        <v>187</v>
      </c>
      <c r="T33" s="3" t="s">
        <v>7784</v>
      </c>
    </row>
    <row r="34">
      <c r="A34" s="3" t="s">
        <v>7788</v>
      </c>
      <c r="B34" s="3" t="s">
        <v>7792</v>
      </c>
      <c r="C34" s="3" t="s">
        <v>832</v>
      </c>
      <c r="D34" s="3" t="s">
        <v>817</v>
      </c>
      <c r="E34" s="3" t="s">
        <v>634</v>
      </c>
      <c r="F34" s="3" t="s">
        <v>460</v>
      </c>
      <c r="G34" s="3" t="s">
        <v>7799</v>
      </c>
      <c r="H34" s="3" t="s">
        <v>7802</v>
      </c>
      <c r="I34" s="3" t="s">
        <v>7805</v>
      </c>
      <c r="J34" s="3" t="s">
        <v>7023</v>
      </c>
      <c r="K34" s="3" t="s">
        <v>7811</v>
      </c>
      <c r="L34" s="3" t="s">
        <v>7813</v>
      </c>
      <c r="M34" s="3" t="s">
        <v>7816</v>
      </c>
      <c r="N34" s="3" t="s">
        <v>7818</v>
      </c>
      <c r="O34" s="3" t="s">
        <v>6409</v>
      </c>
      <c r="P34" s="3" t="s">
        <v>6739</v>
      </c>
      <c r="Q34" s="3" t="s">
        <v>7824</v>
      </c>
      <c r="R34" s="3" t="s">
        <v>188</v>
      </c>
      <c r="S34" s="3" t="s">
        <v>7829</v>
      </c>
      <c r="T34" s="3" t="s">
        <v>7832</v>
      </c>
    </row>
    <row r="35">
      <c r="A35" s="3" t="s">
        <v>7834</v>
      </c>
      <c r="B35" s="3" t="s">
        <v>7836</v>
      </c>
      <c r="C35" s="3" t="s">
        <v>832</v>
      </c>
      <c r="D35" s="3" t="s">
        <v>817</v>
      </c>
      <c r="E35" s="3" t="s">
        <v>634</v>
      </c>
      <c r="F35" s="3" t="s">
        <v>460</v>
      </c>
      <c r="G35" s="3" t="s">
        <v>7843</v>
      </c>
      <c r="H35" s="3" t="s">
        <v>817</v>
      </c>
      <c r="I35" s="3" t="s">
        <v>7845</v>
      </c>
      <c r="J35" s="3" t="s">
        <v>7023</v>
      </c>
      <c r="K35" s="3" t="s">
        <v>7037</v>
      </c>
      <c r="L35" s="3" t="s">
        <v>7043</v>
      </c>
      <c r="M35" s="3" t="s">
        <v>7816</v>
      </c>
      <c r="N35" s="3" t="s">
        <v>7850</v>
      </c>
      <c r="O35" s="3" t="s">
        <v>6409</v>
      </c>
      <c r="P35" s="3" t="s">
        <v>6739</v>
      </c>
      <c r="Q35" s="3" t="s">
        <v>7854</v>
      </c>
      <c r="R35" s="3" t="s">
        <v>188</v>
      </c>
      <c r="S35" s="3" t="s">
        <v>187</v>
      </c>
      <c r="T35" s="3" t="s">
        <v>7855</v>
      </c>
    </row>
    <row r="36">
      <c r="A36" s="3" t="s">
        <v>7856</v>
      </c>
      <c r="B36" s="3" t="s">
        <v>7857</v>
      </c>
      <c r="C36" s="3" t="s">
        <v>832</v>
      </c>
      <c r="D36" s="3" t="s">
        <v>817</v>
      </c>
      <c r="E36" s="3" t="s">
        <v>634</v>
      </c>
      <c r="F36" s="3" t="s">
        <v>1219</v>
      </c>
      <c r="G36" s="3" t="s">
        <v>7858</v>
      </c>
      <c r="H36" s="3" t="s">
        <v>817</v>
      </c>
      <c r="I36" s="3" t="s">
        <v>7861</v>
      </c>
      <c r="J36" s="3" t="s">
        <v>7023</v>
      </c>
      <c r="K36" s="3" t="s">
        <v>7037</v>
      </c>
      <c r="L36" s="3" t="s">
        <v>7043</v>
      </c>
      <c r="M36" s="3" t="s">
        <v>7816</v>
      </c>
      <c r="N36" s="3" t="s">
        <v>7866</v>
      </c>
      <c r="O36" s="3" t="s">
        <v>6409</v>
      </c>
      <c r="P36" s="3" t="s">
        <v>7868</v>
      </c>
      <c r="Q36" s="3" t="s">
        <v>7870</v>
      </c>
      <c r="R36" s="3" t="s">
        <v>188</v>
      </c>
      <c r="S36" s="3" t="s">
        <v>187</v>
      </c>
      <c r="T36" s="3" t="s">
        <v>7875</v>
      </c>
    </row>
    <row r="37">
      <c r="A37" s="3" t="s">
        <v>7877</v>
      </c>
      <c r="B37" s="3" t="s">
        <v>7879</v>
      </c>
      <c r="C37" s="3" t="s">
        <v>850</v>
      </c>
      <c r="D37" s="3" t="s">
        <v>84</v>
      </c>
      <c r="E37" s="3" t="s">
        <v>643</v>
      </c>
      <c r="F37" s="3" t="s">
        <v>7883</v>
      </c>
      <c r="G37" s="3" t="s">
        <v>7885</v>
      </c>
      <c r="H37" s="3" t="s">
        <v>7888</v>
      </c>
      <c r="I37" s="3" t="s">
        <v>7891</v>
      </c>
      <c r="J37" s="3" t="s">
        <v>7023</v>
      </c>
      <c r="K37" s="3" t="s">
        <v>7037</v>
      </c>
      <c r="L37" s="3" t="s">
        <v>7896</v>
      </c>
      <c r="M37" s="3" t="s">
        <v>7739</v>
      </c>
      <c r="N37" s="3" t="s">
        <v>7900</v>
      </c>
      <c r="O37" s="3" t="s">
        <v>6409</v>
      </c>
      <c r="P37" s="3" t="s">
        <v>7906</v>
      </c>
      <c r="Q37" s="3" t="s">
        <v>7908</v>
      </c>
      <c r="R37" s="3" t="s">
        <v>188</v>
      </c>
      <c r="S37" s="3" t="s">
        <v>7911</v>
      </c>
      <c r="T37" s="3" t="s">
        <v>7915</v>
      </c>
    </row>
    <row r="38">
      <c r="A38" s="3" t="s">
        <v>7919</v>
      </c>
      <c r="B38" s="3" t="s">
        <v>7920</v>
      </c>
      <c r="C38" s="3" t="s">
        <v>866</v>
      </c>
      <c r="D38" s="3" t="s">
        <v>84</v>
      </c>
      <c r="E38" s="3" t="s">
        <v>651</v>
      </c>
      <c r="F38" s="3" t="s">
        <v>460</v>
      </c>
      <c r="G38" s="3" t="s">
        <v>7925</v>
      </c>
      <c r="H38" s="3" t="s">
        <v>7927</v>
      </c>
      <c r="I38" s="3" t="s">
        <v>7930</v>
      </c>
      <c r="J38" s="3" t="s">
        <v>7023</v>
      </c>
      <c r="K38" s="3" t="s">
        <v>7037</v>
      </c>
      <c r="L38" s="3" t="s">
        <v>7043</v>
      </c>
      <c r="M38" s="3" t="s">
        <v>7739</v>
      </c>
      <c r="N38" s="3" t="s">
        <v>7937</v>
      </c>
      <c r="O38" s="3" t="s">
        <v>6409</v>
      </c>
      <c r="P38" s="3" t="s">
        <v>6739</v>
      </c>
      <c r="Q38" s="3" t="s">
        <v>7940</v>
      </c>
      <c r="R38" s="3" t="s">
        <v>471</v>
      </c>
      <c r="S38" s="3" t="s">
        <v>187</v>
      </c>
      <c r="T38" s="3" t="s">
        <v>7944</v>
      </c>
    </row>
    <row r="39">
      <c r="A39" s="3" t="s">
        <v>7946</v>
      </c>
      <c r="B39" s="3" t="s">
        <v>7948</v>
      </c>
      <c r="C39" s="3" t="s">
        <v>881</v>
      </c>
      <c r="D39" s="3" t="s">
        <v>84</v>
      </c>
      <c r="E39" s="3" t="s">
        <v>654</v>
      </c>
      <c r="F39" s="3" t="s">
        <v>460</v>
      </c>
      <c r="G39" s="3" t="s">
        <v>7957</v>
      </c>
      <c r="H39" s="3" t="s">
        <v>7959</v>
      </c>
      <c r="I39" s="3" t="s">
        <v>7961</v>
      </c>
      <c r="J39" s="3" t="s">
        <v>7023</v>
      </c>
      <c r="K39" s="3" t="s">
        <v>7037</v>
      </c>
      <c r="L39" s="3" t="s">
        <v>7964</v>
      </c>
      <c r="M39" s="3" t="s">
        <v>7965</v>
      </c>
      <c r="N39" s="3" t="s">
        <v>7966</v>
      </c>
      <c r="O39" s="3" t="s">
        <v>6409</v>
      </c>
      <c r="P39" s="3" t="s">
        <v>6739</v>
      </c>
      <c r="Q39" s="3" t="s">
        <v>7967</v>
      </c>
      <c r="R39" s="3" t="s">
        <v>188</v>
      </c>
      <c r="S39" s="3" t="s">
        <v>187</v>
      </c>
      <c r="T39" s="3" t="s">
        <v>7968</v>
      </c>
    </row>
    <row r="40">
      <c r="A40" s="3" t="s">
        <v>7969</v>
      </c>
      <c r="B40" s="3" t="s">
        <v>7970</v>
      </c>
      <c r="C40" s="3" t="s">
        <v>881</v>
      </c>
      <c r="D40" s="3" t="s">
        <v>84</v>
      </c>
      <c r="E40" s="3" t="s">
        <v>654</v>
      </c>
      <c r="F40" s="3" t="s">
        <v>7543</v>
      </c>
      <c r="G40" s="3" t="s">
        <v>7972</v>
      </c>
      <c r="H40" s="3" t="s">
        <v>7028</v>
      </c>
      <c r="I40" s="3" t="s">
        <v>7973</v>
      </c>
      <c r="J40" s="3" t="s">
        <v>7023</v>
      </c>
      <c r="K40" s="3" t="s">
        <v>7037</v>
      </c>
      <c r="L40" s="3" t="s">
        <v>7043</v>
      </c>
      <c r="M40" s="3" t="s">
        <v>7974</v>
      </c>
      <c r="N40" s="3" t="s">
        <v>7976</v>
      </c>
      <c r="O40" s="3" t="s">
        <v>6409</v>
      </c>
      <c r="P40" s="3" t="s">
        <v>6739</v>
      </c>
      <c r="Q40" s="3" t="s">
        <v>7977</v>
      </c>
      <c r="R40" s="3" t="s">
        <v>471</v>
      </c>
      <c r="S40" s="3" t="s">
        <v>187</v>
      </c>
      <c r="T40" s="3" t="s">
        <v>7978</v>
      </c>
    </row>
    <row r="41">
      <c r="A41" s="3" t="s">
        <v>7979</v>
      </c>
      <c r="B41" s="3" t="s">
        <v>7980</v>
      </c>
      <c r="C41" s="3" t="s">
        <v>897</v>
      </c>
      <c r="D41" s="3" t="s">
        <v>898</v>
      </c>
      <c r="E41" s="3" t="s">
        <v>661</v>
      </c>
      <c r="F41" s="3" t="s">
        <v>7981</v>
      </c>
      <c r="G41" s="3" t="s">
        <v>7983</v>
      </c>
      <c r="H41" s="3" t="s">
        <v>763</v>
      </c>
      <c r="I41" s="3" t="s">
        <v>7984</v>
      </c>
      <c r="J41" s="3" t="s">
        <v>7023</v>
      </c>
      <c r="K41" s="3" t="s">
        <v>7037</v>
      </c>
      <c r="L41" s="3" t="s">
        <v>7043</v>
      </c>
      <c r="M41" s="3" t="s">
        <v>7985</v>
      </c>
      <c r="N41" s="3" t="s">
        <v>7986</v>
      </c>
      <c r="O41" s="3" t="s">
        <v>6409</v>
      </c>
      <c r="P41" s="3" t="s">
        <v>7987</v>
      </c>
      <c r="Q41" s="3" t="s">
        <v>7988</v>
      </c>
      <c r="R41" s="3" t="s">
        <v>471</v>
      </c>
      <c r="S41" s="3" t="s">
        <v>187</v>
      </c>
      <c r="T41" s="3" t="s">
        <v>7990</v>
      </c>
    </row>
    <row r="42">
      <c r="A42" s="3" t="s">
        <v>7992</v>
      </c>
      <c r="B42" s="3" t="s">
        <v>7993</v>
      </c>
      <c r="C42" s="3" t="s">
        <v>881</v>
      </c>
      <c r="D42" s="3" t="s">
        <v>84</v>
      </c>
      <c r="E42" s="3" t="s">
        <v>654</v>
      </c>
      <c r="F42" s="3" t="s">
        <v>7015</v>
      </c>
      <c r="G42" s="3" t="s">
        <v>7994</v>
      </c>
      <c r="H42" s="3" t="s">
        <v>763</v>
      </c>
      <c r="I42" s="3" t="s">
        <v>7995</v>
      </c>
      <c r="J42" s="3" t="s">
        <v>7023</v>
      </c>
      <c r="K42" s="3" t="s">
        <v>7037</v>
      </c>
      <c r="L42" s="3" t="s">
        <v>7043</v>
      </c>
      <c r="M42" s="3" t="s">
        <v>7985</v>
      </c>
      <c r="N42" s="3" t="s">
        <v>7986</v>
      </c>
      <c r="O42" s="3" t="s">
        <v>6409</v>
      </c>
      <c r="P42" s="3" t="s">
        <v>6739</v>
      </c>
      <c r="Q42" s="3" t="s">
        <v>7996</v>
      </c>
      <c r="R42" s="3" t="s">
        <v>471</v>
      </c>
      <c r="S42" s="3" t="s">
        <v>187</v>
      </c>
      <c r="T42" s="3" t="s">
        <v>7997</v>
      </c>
    </row>
    <row r="43">
      <c r="A43" s="3" t="s">
        <v>7998</v>
      </c>
      <c r="B43" s="3" t="s">
        <v>7999</v>
      </c>
      <c r="C43" s="3" t="s">
        <v>897</v>
      </c>
      <c r="D43" s="3" t="s">
        <v>898</v>
      </c>
      <c r="E43" s="3" t="s">
        <v>661</v>
      </c>
      <c r="F43" s="3" t="s">
        <v>1219</v>
      </c>
      <c r="G43" s="3" t="s">
        <v>8000</v>
      </c>
      <c r="H43" s="3" t="s">
        <v>788</v>
      </c>
      <c r="I43" s="3" t="s">
        <v>8001</v>
      </c>
      <c r="J43" s="3" t="s">
        <v>7023</v>
      </c>
      <c r="K43" s="3" t="s">
        <v>7037</v>
      </c>
      <c r="L43" s="3" t="s">
        <v>7043</v>
      </c>
      <c r="M43" s="3" t="s">
        <v>7985</v>
      </c>
      <c r="N43" s="3" t="s">
        <v>8002</v>
      </c>
      <c r="O43" s="3" t="s">
        <v>6409</v>
      </c>
      <c r="P43" s="3" t="s">
        <v>8003</v>
      </c>
      <c r="Q43" s="3" t="s">
        <v>8004</v>
      </c>
      <c r="R43" s="3" t="s">
        <v>471</v>
      </c>
      <c r="S43" s="3" t="s">
        <v>187</v>
      </c>
      <c r="T43" s="3" t="s">
        <v>8006</v>
      </c>
    </row>
    <row r="44">
      <c r="A44" s="3" t="s">
        <v>8007</v>
      </c>
      <c r="B44" s="3" t="s">
        <v>8008</v>
      </c>
      <c r="C44" s="3" t="s">
        <v>915</v>
      </c>
      <c r="D44" s="3" t="s">
        <v>916</v>
      </c>
      <c r="E44" s="3" t="s">
        <v>201</v>
      </c>
      <c r="F44" s="3" t="s">
        <v>8009</v>
      </c>
      <c r="G44" s="3" t="s">
        <v>8010</v>
      </c>
      <c r="H44" s="3" t="s">
        <v>562</v>
      </c>
      <c r="I44" s="3" t="s">
        <v>8012</v>
      </c>
      <c r="J44" s="3" t="s">
        <v>7088</v>
      </c>
      <c r="K44" s="3" t="s">
        <v>7037</v>
      </c>
      <c r="L44" s="3" t="s">
        <v>7043</v>
      </c>
      <c r="M44" s="3" t="s">
        <v>8014</v>
      </c>
      <c r="N44" s="3" t="s">
        <v>8016</v>
      </c>
      <c r="O44" s="3" t="s">
        <v>6409</v>
      </c>
      <c r="P44" s="3" t="s">
        <v>6739</v>
      </c>
      <c r="Q44" s="3" t="s">
        <v>8020</v>
      </c>
      <c r="R44" s="3" t="s">
        <v>62</v>
      </c>
      <c r="S44" s="3" t="s">
        <v>8023</v>
      </c>
      <c r="T44" s="3" t="s">
        <v>8025</v>
      </c>
    </row>
    <row r="45">
      <c r="A45" s="3" t="s">
        <v>8027</v>
      </c>
      <c r="B45" s="3" t="s">
        <v>8029</v>
      </c>
      <c r="C45" s="3" t="s">
        <v>915</v>
      </c>
      <c r="D45" s="3" t="s">
        <v>916</v>
      </c>
      <c r="E45" s="3" t="s">
        <v>201</v>
      </c>
      <c r="F45" s="3" t="s">
        <v>8009</v>
      </c>
      <c r="G45" s="3" t="s">
        <v>8035</v>
      </c>
      <c r="H45" s="3" t="s">
        <v>562</v>
      </c>
      <c r="I45" s="3" t="s">
        <v>8038</v>
      </c>
      <c r="J45" s="3" t="s">
        <v>7088</v>
      </c>
      <c r="K45" s="3" t="s">
        <v>7037</v>
      </c>
      <c r="L45" s="3" t="s">
        <v>7043</v>
      </c>
      <c r="M45" s="3" t="s">
        <v>8041</v>
      </c>
      <c r="N45" s="3" t="s">
        <v>8043</v>
      </c>
      <c r="O45" s="3" t="s">
        <v>6409</v>
      </c>
      <c r="P45" s="3" t="s">
        <v>6739</v>
      </c>
      <c r="Q45" s="3" t="s">
        <v>8046</v>
      </c>
      <c r="R45" s="3" t="s">
        <v>62</v>
      </c>
      <c r="S45" s="3" t="s">
        <v>8047</v>
      </c>
      <c r="T45" s="3" t="s">
        <v>8049</v>
      </c>
    </row>
    <row r="46">
      <c r="A46" s="3" t="s">
        <v>8050</v>
      </c>
      <c r="B46" s="3" t="s">
        <v>8052</v>
      </c>
      <c r="C46" s="3" t="s">
        <v>931</v>
      </c>
      <c r="D46" s="3" t="s">
        <v>107</v>
      </c>
      <c r="E46" s="3" t="s">
        <v>201</v>
      </c>
      <c r="F46" s="3" t="s">
        <v>8054</v>
      </c>
      <c r="G46" s="3" t="s">
        <v>8055</v>
      </c>
      <c r="H46" s="3" t="s">
        <v>562</v>
      </c>
      <c r="I46" s="3" t="s">
        <v>8056</v>
      </c>
      <c r="J46" s="3" t="s">
        <v>7023</v>
      </c>
      <c r="K46" s="3" t="s">
        <v>7037</v>
      </c>
      <c r="L46" s="3" t="s">
        <v>7043</v>
      </c>
      <c r="M46" s="3" t="s">
        <v>8057</v>
      </c>
      <c r="N46" s="3" t="s">
        <v>8058</v>
      </c>
      <c r="O46" s="3" t="s">
        <v>6409</v>
      </c>
      <c r="P46" s="3" t="s">
        <v>8059</v>
      </c>
      <c r="Q46" s="3" t="s">
        <v>8060</v>
      </c>
      <c r="R46" s="3" t="s">
        <v>62</v>
      </c>
      <c r="S46" s="3" t="s">
        <v>8061</v>
      </c>
      <c r="T46" s="3" t="s">
        <v>8062</v>
      </c>
    </row>
    <row r="47">
      <c r="A47" s="3" t="s">
        <v>8063</v>
      </c>
      <c r="B47" s="3" t="s">
        <v>8064</v>
      </c>
      <c r="C47" s="3" t="s">
        <v>942</v>
      </c>
      <c r="D47" s="3" t="s">
        <v>107</v>
      </c>
      <c r="E47" s="3" t="s">
        <v>201</v>
      </c>
      <c r="F47" s="3" t="s">
        <v>7015</v>
      </c>
      <c r="G47" s="3" t="s">
        <v>8065</v>
      </c>
      <c r="H47" s="3" t="s">
        <v>8066</v>
      </c>
      <c r="I47" s="3" t="s">
        <v>8067</v>
      </c>
      <c r="J47" s="3" t="s">
        <v>7023</v>
      </c>
      <c r="K47" s="3" t="s">
        <v>7037</v>
      </c>
      <c r="L47" s="3" t="s">
        <v>7043</v>
      </c>
      <c r="M47" s="3" t="s">
        <v>8068</v>
      </c>
      <c r="N47" s="3" t="s">
        <v>8069</v>
      </c>
      <c r="O47" s="3" t="s">
        <v>6409</v>
      </c>
      <c r="P47" s="3" t="s">
        <v>6739</v>
      </c>
      <c r="Q47" s="3" t="s">
        <v>8070</v>
      </c>
      <c r="R47" s="3" t="s">
        <v>62</v>
      </c>
      <c r="S47" s="3" t="s">
        <v>187</v>
      </c>
      <c r="T47" s="3" t="s">
        <v>8071</v>
      </c>
    </row>
    <row r="48">
      <c r="A48" s="3" t="s">
        <v>8072</v>
      </c>
      <c r="B48" s="3" t="s">
        <v>8073</v>
      </c>
      <c r="C48" s="3" t="s">
        <v>942</v>
      </c>
      <c r="D48" s="3" t="s">
        <v>107</v>
      </c>
      <c r="E48" s="3" t="s">
        <v>201</v>
      </c>
      <c r="F48" s="3" t="s">
        <v>8009</v>
      </c>
      <c r="G48" s="3" t="s">
        <v>8074</v>
      </c>
      <c r="H48" s="3" t="s">
        <v>562</v>
      </c>
      <c r="I48" s="3" t="s">
        <v>8075</v>
      </c>
      <c r="J48" s="3" t="s">
        <v>7088</v>
      </c>
      <c r="K48" s="3" t="s">
        <v>7037</v>
      </c>
      <c r="L48" s="3" t="s">
        <v>7043</v>
      </c>
      <c r="M48" s="3" t="s">
        <v>8076</v>
      </c>
      <c r="N48" s="3" t="s">
        <v>8077</v>
      </c>
      <c r="O48" s="3" t="s">
        <v>6409</v>
      </c>
      <c r="P48" s="3" t="s">
        <v>6739</v>
      </c>
      <c r="Q48" s="3" t="s">
        <v>8078</v>
      </c>
      <c r="R48" s="3" t="s">
        <v>62</v>
      </c>
      <c r="S48" s="3" t="s">
        <v>8079</v>
      </c>
      <c r="T48" s="3" t="s">
        <v>8080</v>
      </c>
    </row>
    <row r="49">
      <c r="A49" s="3" t="s">
        <v>8081</v>
      </c>
      <c r="B49" s="3" t="s">
        <v>8082</v>
      </c>
      <c r="C49" s="3" t="s">
        <v>960</v>
      </c>
      <c r="D49" s="3" t="s">
        <v>107</v>
      </c>
      <c r="E49" s="3" t="s">
        <v>201</v>
      </c>
      <c r="F49" s="3" t="s">
        <v>8083</v>
      </c>
      <c r="G49" s="3" t="s">
        <v>8084</v>
      </c>
      <c r="H49" s="3" t="s">
        <v>562</v>
      </c>
      <c r="I49" s="3" t="s">
        <v>8085</v>
      </c>
      <c r="J49" s="3" t="s">
        <v>7088</v>
      </c>
      <c r="K49" s="3" t="s">
        <v>7037</v>
      </c>
      <c r="L49" s="3" t="s">
        <v>7043</v>
      </c>
      <c r="M49" s="3" t="s">
        <v>8086</v>
      </c>
      <c r="N49" s="3" t="s">
        <v>8087</v>
      </c>
      <c r="O49" s="3" t="s">
        <v>6409</v>
      </c>
      <c r="P49" s="3" t="s">
        <v>6739</v>
      </c>
      <c r="Q49" s="3" t="s">
        <v>8088</v>
      </c>
      <c r="R49" s="3" t="s">
        <v>62</v>
      </c>
      <c r="S49" s="3" t="s">
        <v>187</v>
      </c>
      <c r="T49" s="3" t="s">
        <v>8089</v>
      </c>
    </row>
    <row r="50">
      <c r="A50" s="3" t="s">
        <v>8090</v>
      </c>
      <c r="B50" s="3" t="s">
        <v>8091</v>
      </c>
      <c r="C50" s="3" t="s">
        <v>960</v>
      </c>
      <c r="D50" s="3" t="s">
        <v>107</v>
      </c>
      <c r="E50" s="3" t="s">
        <v>201</v>
      </c>
      <c r="F50" s="3" t="s">
        <v>8092</v>
      </c>
      <c r="G50" s="3" t="s">
        <v>8093</v>
      </c>
      <c r="H50" s="3" t="s">
        <v>8094</v>
      </c>
      <c r="I50" s="3" t="s">
        <v>8096</v>
      </c>
      <c r="J50" s="3" t="s">
        <v>7023</v>
      </c>
      <c r="K50" s="3" t="s">
        <v>7037</v>
      </c>
      <c r="L50" s="3" t="s">
        <v>7043</v>
      </c>
      <c r="M50" s="3" t="s">
        <v>8076</v>
      </c>
      <c r="N50" s="3" t="s">
        <v>8097</v>
      </c>
      <c r="O50" s="3" t="s">
        <v>6409</v>
      </c>
      <c r="P50" s="3" t="s">
        <v>8098</v>
      </c>
      <c r="Q50" s="3" t="s">
        <v>8099</v>
      </c>
      <c r="R50" s="3" t="s">
        <v>471</v>
      </c>
      <c r="S50" s="3" t="s">
        <v>187</v>
      </c>
      <c r="T50" s="3" t="s">
        <v>8101</v>
      </c>
    </row>
    <row r="51">
      <c r="A51" s="3" t="s">
        <v>8102</v>
      </c>
      <c r="B51" s="3" t="s">
        <v>8103</v>
      </c>
      <c r="C51" s="3" t="s">
        <v>973</v>
      </c>
      <c r="D51" s="3" t="s">
        <v>107</v>
      </c>
      <c r="E51" s="3" t="s">
        <v>201</v>
      </c>
      <c r="F51" s="3" t="s">
        <v>8105</v>
      </c>
      <c r="G51" s="3" t="s">
        <v>8106</v>
      </c>
      <c r="H51" s="3" t="s">
        <v>8107</v>
      </c>
      <c r="I51" s="3" t="s">
        <v>8108</v>
      </c>
      <c r="J51" s="3" t="s">
        <v>7088</v>
      </c>
      <c r="K51" s="3" t="s">
        <v>8109</v>
      </c>
      <c r="L51" s="3" t="s">
        <v>8110</v>
      </c>
      <c r="M51" s="3" t="s">
        <v>8111</v>
      </c>
      <c r="N51" s="3" t="s">
        <v>8113</v>
      </c>
      <c r="O51" s="3" t="s">
        <v>6409</v>
      </c>
      <c r="P51" s="3" t="s">
        <v>8116</v>
      </c>
      <c r="Q51" s="3" t="s">
        <v>8117</v>
      </c>
      <c r="R51" s="3" t="s">
        <v>188</v>
      </c>
      <c r="S51" s="3" t="s">
        <v>8119</v>
      </c>
      <c r="T51" s="3" t="s">
        <v>8122</v>
      </c>
    </row>
    <row r="52">
      <c r="A52" s="3" t="s">
        <v>8124</v>
      </c>
      <c r="B52" s="3" t="s">
        <v>8126</v>
      </c>
      <c r="C52" s="3" t="s">
        <v>992</v>
      </c>
      <c r="D52" s="3" t="s">
        <v>993</v>
      </c>
      <c r="E52" s="3" t="s">
        <v>170</v>
      </c>
      <c r="F52" s="3" t="s">
        <v>7981</v>
      </c>
      <c r="G52" s="3" t="s">
        <v>8130</v>
      </c>
      <c r="H52" s="3" t="s">
        <v>632</v>
      </c>
      <c r="I52" s="3" t="s">
        <v>8132</v>
      </c>
      <c r="J52" s="3" t="s">
        <v>7023</v>
      </c>
      <c r="K52" s="3" t="s">
        <v>7037</v>
      </c>
      <c r="L52" s="3" t="s">
        <v>7043</v>
      </c>
      <c r="M52" s="3" t="s">
        <v>996</v>
      </c>
      <c r="N52" s="3" t="s">
        <v>8134</v>
      </c>
      <c r="O52" s="3" t="s">
        <v>6409</v>
      </c>
      <c r="P52" s="3" t="s">
        <v>8135</v>
      </c>
      <c r="Q52" s="3" t="s">
        <v>8136</v>
      </c>
      <c r="R52" s="3" t="s">
        <v>62</v>
      </c>
      <c r="S52" s="3" t="s">
        <v>187</v>
      </c>
      <c r="T52" s="3" t="s">
        <v>8138</v>
      </c>
    </row>
    <row r="53">
      <c r="A53" s="3" t="s">
        <v>8139</v>
      </c>
      <c r="B53" s="3" t="s">
        <v>8140</v>
      </c>
      <c r="C53" s="3" t="s">
        <v>992</v>
      </c>
      <c r="D53" s="3" t="s">
        <v>993</v>
      </c>
      <c r="E53" s="3" t="s">
        <v>170</v>
      </c>
      <c r="F53" s="3" t="s">
        <v>374</v>
      </c>
      <c r="G53" s="3" t="s">
        <v>8142</v>
      </c>
      <c r="H53" s="3" t="s">
        <v>7497</v>
      </c>
      <c r="I53" s="3" t="s">
        <v>8143</v>
      </c>
      <c r="J53" s="3" t="s">
        <v>7023</v>
      </c>
      <c r="K53" s="3" t="s">
        <v>7037</v>
      </c>
      <c r="L53" s="3" t="s">
        <v>7043</v>
      </c>
      <c r="M53" s="3" t="s">
        <v>996</v>
      </c>
      <c r="N53" s="3" t="s">
        <v>8145</v>
      </c>
      <c r="O53" s="3" t="s">
        <v>6409</v>
      </c>
      <c r="P53" s="3" t="s">
        <v>8135</v>
      </c>
      <c r="Q53" s="3" t="s">
        <v>8148</v>
      </c>
      <c r="R53" s="3" t="s">
        <v>62</v>
      </c>
      <c r="S53" s="3" t="s">
        <v>187</v>
      </c>
      <c r="T53" s="3" t="s">
        <v>8151</v>
      </c>
    </row>
    <row r="54">
      <c r="A54" s="3" t="s">
        <v>8153</v>
      </c>
      <c r="B54" s="3" t="s">
        <v>8155</v>
      </c>
      <c r="C54" s="3" t="s">
        <v>1011</v>
      </c>
      <c r="D54" s="3" t="s">
        <v>1012</v>
      </c>
      <c r="E54" s="3" t="s">
        <v>170</v>
      </c>
      <c r="F54" s="3" t="s">
        <v>8009</v>
      </c>
      <c r="G54" s="3" t="s">
        <v>8159</v>
      </c>
      <c r="H54" s="3" t="s">
        <v>562</v>
      </c>
      <c r="I54" s="3" t="s">
        <v>8160</v>
      </c>
      <c r="J54" s="3" t="s">
        <v>7088</v>
      </c>
      <c r="K54" s="3" t="s">
        <v>7037</v>
      </c>
      <c r="L54" s="3" t="s">
        <v>7043</v>
      </c>
      <c r="M54" s="3" t="s">
        <v>8162</v>
      </c>
      <c r="N54" s="3" t="s">
        <v>8164</v>
      </c>
      <c r="O54" s="3" t="s">
        <v>6409</v>
      </c>
      <c r="P54" s="3" t="s">
        <v>8135</v>
      </c>
      <c r="Q54" s="3" t="s">
        <v>8166</v>
      </c>
      <c r="R54" s="3" t="s">
        <v>471</v>
      </c>
      <c r="S54" s="3" t="s">
        <v>187</v>
      </c>
      <c r="T54" s="3" t="s">
        <v>8169</v>
      </c>
    </row>
    <row r="55">
      <c r="A55" s="3" t="s">
        <v>8171</v>
      </c>
      <c r="B55" s="3" t="s">
        <v>8173</v>
      </c>
      <c r="C55" s="3" t="s">
        <v>1011</v>
      </c>
      <c r="D55" s="3" t="s">
        <v>107</v>
      </c>
      <c r="E55" s="3" t="s">
        <v>170</v>
      </c>
      <c r="F55" s="3" t="s">
        <v>8009</v>
      </c>
      <c r="G55" s="3" t="s">
        <v>8176</v>
      </c>
      <c r="H55" s="3" t="s">
        <v>562</v>
      </c>
      <c r="I55" s="3" t="s">
        <v>8178</v>
      </c>
      <c r="J55" s="3" t="s">
        <v>7088</v>
      </c>
      <c r="K55" s="3" t="s">
        <v>7037</v>
      </c>
      <c r="L55" s="3" t="s">
        <v>7043</v>
      </c>
      <c r="M55" s="3" t="s">
        <v>8181</v>
      </c>
      <c r="N55" s="3" t="s">
        <v>8183</v>
      </c>
      <c r="O55" s="3" t="s">
        <v>6409</v>
      </c>
      <c r="P55" s="3" t="s">
        <v>8135</v>
      </c>
      <c r="Q55" s="3" t="s">
        <v>8185</v>
      </c>
      <c r="R55" s="3" t="s">
        <v>471</v>
      </c>
      <c r="S55" s="3" t="s">
        <v>187</v>
      </c>
      <c r="T55" s="3" t="s">
        <v>8189</v>
      </c>
    </row>
    <row r="56">
      <c r="A56" s="3" t="s">
        <v>8190</v>
      </c>
      <c r="B56" s="3" t="s">
        <v>8192</v>
      </c>
      <c r="C56" s="3" t="s">
        <v>1028</v>
      </c>
      <c r="D56" s="3" t="s">
        <v>993</v>
      </c>
      <c r="E56" s="3" t="s">
        <v>1029</v>
      </c>
      <c r="F56" s="3" t="s">
        <v>5911</v>
      </c>
      <c r="G56" s="3" t="s">
        <v>8198</v>
      </c>
      <c r="H56" s="3" t="s">
        <v>8200</v>
      </c>
      <c r="I56" s="3" t="s">
        <v>8201</v>
      </c>
      <c r="J56" s="3" t="s">
        <v>7088</v>
      </c>
      <c r="K56" s="3" t="s">
        <v>7037</v>
      </c>
      <c r="L56" s="3" t="s">
        <v>7043</v>
      </c>
      <c r="M56" s="3" t="s">
        <v>8203</v>
      </c>
      <c r="N56" s="3" t="s">
        <v>8205</v>
      </c>
      <c r="O56" s="3" t="s">
        <v>6409</v>
      </c>
      <c r="P56" s="3" t="s">
        <v>8207</v>
      </c>
      <c r="Q56" s="3" t="s">
        <v>8209</v>
      </c>
      <c r="R56" s="3" t="s">
        <v>188</v>
      </c>
      <c r="S56" s="3" t="s">
        <v>8211</v>
      </c>
      <c r="T56" s="3" t="s">
        <v>8212</v>
      </c>
    </row>
    <row r="57">
      <c r="A57" s="3" t="s">
        <v>8214</v>
      </c>
      <c r="B57" s="3" t="s">
        <v>8215</v>
      </c>
      <c r="C57" s="3" t="s">
        <v>1028</v>
      </c>
      <c r="D57" s="3" t="s">
        <v>993</v>
      </c>
      <c r="E57" s="3" t="s">
        <v>1029</v>
      </c>
      <c r="F57" s="3" t="s">
        <v>8217</v>
      </c>
      <c r="G57" s="3" t="s">
        <v>8219</v>
      </c>
      <c r="H57" s="3" t="s">
        <v>8200</v>
      </c>
      <c r="I57" s="3" t="s">
        <v>8220</v>
      </c>
      <c r="J57" s="3" t="s">
        <v>7088</v>
      </c>
      <c r="K57" s="3" t="s">
        <v>7037</v>
      </c>
      <c r="L57" s="3" t="s">
        <v>7043</v>
      </c>
      <c r="M57" s="3" t="s">
        <v>8222</v>
      </c>
      <c r="N57" s="3" t="s">
        <v>5537</v>
      </c>
      <c r="O57" s="3" t="s">
        <v>7043</v>
      </c>
      <c r="P57" s="3" t="s">
        <v>6739</v>
      </c>
      <c r="Q57" s="3" t="s">
        <v>8226</v>
      </c>
      <c r="R57" s="3" t="s">
        <v>188</v>
      </c>
      <c r="S57" s="3" t="s">
        <v>8211</v>
      </c>
      <c r="T57" s="3" t="s">
        <v>8227</v>
      </c>
    </row>
    <row r="58">
      <c r="A58" s="3" t="s">
        <v>8228</v>
      </c>
      <c r="B58" s="3" t="s">
        <v>8230</v>
      </c>
      <c r="C58" s="3" t="s">
        <v>625</v>
      </c>
      <c r="D58" s="3" t="s">
        <v>47</v>
      </c>
      <c r="E58" s="3" t="s">
        <v>149</v>
      </c>
      <c r="F58" s="3" t="s">
        <v>8231</v>
      </c>
      <c r="G58" s="3" t="s">
        <v>8232</v>
      </c>
      <c r="H58" s="3" t="s">
        <v>632</v>
      </c>
      <c r="I58" s="3" t="s">
        <v>8233</v>
      </c>
      <c r="J58" s="3" t="s">
        <v>7023</v>
      </c>
      <c r="K58" s="3" t="s">
        <v>7037</v>
      </c>
      <c r="L58" s="3" t="s">
        <v>7043</v>
      </c>
      <c r="M58" s="3" t="s">
        <v>7402</v>
      </c>
      <c r="N58" s="3" t="s">
        <v>8234</v>
      </c>
      <c r="O58" s="3" t="s">
        <v>8236</v>
      </c>
      <c r="P58" s="3" t="s">
        <v>8237</v>
      </c>
      <c r="Q58" s="3" t="s">
        <v>8239</v>
      </c>
      <c r="R58" s="3" t="s">
        <v>471</v>
      </c>
      <c r="S58" s="3" t="s">
        <v>187</v>
      </c>
      <c r="T58" s="3" t="s">
        <v>8242</v>
      </c>
    </row>
    <row r="59">
      <c r="A59" s="3" t="s">
        <v>8244</v>
      </c>
      <c r="B59" s="3" t="s">
        <v>8245</v>
      </c>
      <c r="C59" s="3" t="s">
        <v>8246</v>
      </c>
      <c r="D59" s="3" t="s">
        <v>624</v>
      </c>
      <c r="E59" s="3" t="s">
        <v>8247</v>
      </c>
      <c r="F59" s="3" t="s">
        <v>8248</v>
      </c>
      <c r="G59" s="3" t="s">
        <v>8249</v>
      </c>
      <c r="H59" s="3" t="s">
        <v>8250</v>
      </c>
      <c r="I59" s="3" t="s">
        <v>8251</v>
      </c>
      <c r="J59" s="3" t="s">
        <v>7119</v>
      </c>
      <c r="K59" s="3" t="s">
        <v>7037</v>
      </c>
      <c r="L59" s="3" t="s">
        <v>8252</v>
      </c>
      <c r="M59" s="3" t="s">
        <v>8253</v>
      </c>
      <c r="N59" s="3" t="s">
        <v>8254</v>
      </c>
      <c r="O59" s="3" t="s">
        <v>6409</v>
      </c>
      <c r="P59" s="3" t="s">
        <v>8255</v>
      </c>
      <c r="Q59" s="3" t="s">
        <v>8256</v>
      </c>
      <c r="R59" s="3" t="s">
        <v>62</v>
      </c>
      <c r="S59" s="3" t="s">
        <v>8257</v>
      </c>
      <c r="T59" s="3" t="s">
        <v>8258</v>
      </c>
    </row>
    <row r="60">
      <c r="A60" s="3" t="s">
        <v>8259</v>
      </c>
      <c r="B60" s="3" t="s">
        <v>8260</v>
      </c>
      <c r="C60" s="3" t="s">
        <v>8246</v>
      </c>
      <c r="D60" s="3" t="s">
        <v>624</v>
      </c>
      <c r="E60" s="3" t="s">
        <v>8247</v>
      </c>
      <c r="F60" s="3" t="s">
        <v>8261</v>
      </c>
      <c r="G60" s="3" t="s">
        <v>8262</v>
      </c>
      <c r="H60" s="3" t="s">
        <v>8250</v>
      </c>
      <c r="I60" s="3" t="s">
        <v>8263</v>
      </c>
      <c r="J60" s="3" t="s">
        <v>7119</v>
      </c>
      <c r="K60" s="3" t="s">
        <v>7037</v>
      </c>
      <c r="L60" s="3" t="s">
        <v>8252</v>
      </c>
      <c r="M60" s="3" t="s">
        <v>8253</v>
      </c>
      <c r="N60" s="3" t="s">
        <v>8264</v>
      </c>
      <c r="O60" s="3" t="s">
        <v>6409</v>
      </c>
      <c r="P60" s="3" t="s">
        <v>8265</v>
      </c>
      <c r="Q60" s="3" t="s">
        <v>8267</v>
      </c>
      <c r="R60" s="3" t="s">
        <v>62</v>
      </c>
      <c r="S60" s="3" t="s">
        <v>8257</v>
      </c>
      <c r="T60" s="3" t="s">
        <v>8271</v>
      </c>
    </row>
  </sheetData>
  <autoFilter ref="$A$1:$T$6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38"/>
    <col customWidth="1" min="3" max="4" width="23.88"/>
    <col customWidth="1" min="5" max="8" width="32.63"/>
    <col customWidth="1" min="9" max="11" width="20.13"/>
    <col customWidth="1" min="12" max="15" width="30.75"/>
  </cols>
  <sheetData>
    <row r="1">
      <c r="A1" s="2" t="s">
        <v>7418</v>
      </c>
      <c r="B1" s="2" t="s">
        <v>319</v>
      </c>
      <c r="C1" s="2" t="s">
        <v>7420</v>
      </c>
      <c r="D1" s="2" t="s">
        <v>7422</v>
      </c>
      <c r="E1" s="2" t="s">
        <v>7424</v>
      </c>
      <c r="F1" s="2" t="s">
        <v>1116</v>
      </c>
      <c r="G1" s="2" t="s">
        <v>7427</v>
      </c>
      <c r="H1" s="2" t="s">
        <v>7430</v>
      </c>
      <c r="I1" s="2" t="s">
        <v>6390</v>
      </c>
      <c r="J1" s="2" t="s">
        <v>7437</v>
      </c>
      <c r="K1" s="2" t="s">
        <v>7439</v>
      </c>
      <c r="L1" s="2" t="s">
        <v>5780</v>
      </c>
      <c r="M1" s="2" t="s">
        <v>7444</v>
      </c>
      <c r="N1" s="2" t="s">
        <v>7448</v>
      </c>
      <c r="O1" s="2" t="s">
        <v>5529</v>
      </c>
    </row>
    <row r="2">
      <c r="A2" s="3" t="s">
        <v>7452</v>
      </c>
      <c r="B2" s="3" t="s">
        <v>6291</v>
      </c>
      <c r="C2" s="3" t="s">
        <v>518</v>
      </c>
      <c r="D2" s="3" t="s">
        <v>7456</v>
      </c>
      <c r="E2" s="3" t="s">
        <v>7459</v>
      </c>
      <c r="F2" s="3" t="s">
        <v>7461</v>
      </c>
      <c r="G2" s="3" t="s">
        <v>7463</v>
      </c>
      <c r="H2" s="3" t="s">
        <v>7466</v>
      </c>
      <c r="I2" s="3" t="s">
        <v>6791</v>
      </c>
      <c r="J2" s="3" t="s">
        <v>7469</v>
      </c>
      <c r="K2" s="3" t="s">
        <v>6292</v>
      </c>
      <c r="L2" s="3" t="s">
        <v>7472</v>
      </c>
      <c r="M2" s="3" t="s">
        <v>7474</v>
      </c>
      <c r="N2" s="3" t="s">
        <v>7476</v>
      </c>
      <c r="O2" s="40" t="s">
        <v>1092</v>
      </c>
    </row>
    <row r="3">
      <c r="A3" s="3" t="s">
        <v>7504</v>
      </c>
      <c r="B3" s="3" t="s">
        <v>6291</v>
      </c>
      <c r="C3" s="3" t="s">
        <v>7506</v>
      </c>
      <c r="D3" s="3" t="s">
        <v>7508</v>
      </c>
      <c r="E3" s="3" t="s">
        <v>7510</v>
      </c>
      <c r="F3" s="3" t="s">
        <v>7512</v>
      </c>
      <c r="G3" s="3" t="s">
        <v>7513</v>
      </c>
      <c r="H3" s="3" t="s">
        <v>7514</v>
      </c>
      <c r="I3" s="3" t="s">
        <v>6295</v>
      </c>
      <c r="J3" s="3" t="s">
        <v>6710</v>
      </c>
      <c r="K3" s="3" t="s">
        <v>6292</v>
      </c>
      <c r="L3" s="3" t="s">
        <v>7516</v>
      </c>
      <c r="M3" s="3" t="s">
        <v>7518</v>
      </c>
      <c r="N3" s="3" t="s">
        <v>7519</v>
      </c>
      <c r="O3" s="40" t="s">
        <v>1107</v>
      </c>
    </row>
    <row r="4">
      <c r="A4" s="3" t="s">
        <v>7555</v>
      </c>
      <c r="B4" s="3" t="s">
        <v>6291</v>
      </c>
      <c r="C4" s="3" t="s">
        <v>562</v>
      </c>
      <c r="D4" s="3" t="s">
        <v>7556</v>
      </c>
      <c r="E4" s="3" t="s">
        <v>7557</v>
      </c>
      <c r="F4" s="3" t="s">
        <v>7558</v>
      </c>
      <c r="G4" s="3" t="s">
        <v>7560</v>
      </c>
      <c r="H4" s="3" t="s">
        <v>7561</v>
      </c>
      <c r="I4" s="3" t="s">
        <v>7563</v>
      </c>
      <c r="J4" s="3" t="s">
        <v>6635</v>
      </c>
      <c r="K4" s="3" t="s">
        <v>6292</v>
      </c>
      <c r="L4" s="3" t="s">
        <v>7564</v>
      </c>
      <c r="M4" s="3" t="s">
        <v>7567</v>
      </c>
      <c r="N4" s="3" t="s">
        <v>7569</v>
      </c>
      <c r="O4" s="40" t="s">
        <v>7573</v>
      </c>
    </row>
    <row r="5">
      <c r="A5" s="3" t="s">
        <v>7608</v>
      </c>
      <c r="B5" s="3" t="s">
        <v>6291</v>
      </c>
      <c r="C5" s="3" t="s">
        <v>562</v>
      </c>
      <c r="D5" s="3" t="s">
        <v>7609</v>
      </c>
      <c r="E5" s="3" t="s">
        <v>7610</v>
      </c>
      <c r="F5" s="3" t="s">
        <v>7611</v>
      </c>
      <c r="G5" s="3" t="s">
        <v>7612</v>
      </c>
      <c r="H5" s="3" t="s">
        <v>7616</v>
      </c>
      <c r="I5" s="3" t="s">
        <v>7563</v>
      </c>
      <c r="J5" s="3" t="s">
        <v>6681</v>
      </c>
      <c r="K5" s="3" t="s">
        <v>6292</v>
      </c>
      <c r="L5" s="3" t="s">
        <v>7623</v>
      </c>
      <c r="M5" s="3" t="s">
        <v>7625</v>
      </c>
      <c r="N5" s="3" t="s">
        <v>7626</v>
      </c>
      <c r="O5" s="40" t="s">
        <v>7628</v>
      </c>
    </row>
    <row r="6">
      <c r="A6" s="3" t="s">
        <v>7670</v>
      </c>
      <c r="B6" s="3" t="s">
        <v>6291</v>
      </c>
      <c r="C6" s="3" t="s">
        <v>7674</v>
      </c>
      <c r="D6" s="3" t="s">
        <v>7675</v>
      </c>
      <c r="E6" s="3" t="s">
        <v>7678</v>
      </c>
      <c r="F6" s="3" t="s">
        <v>7680</v>
      </c>
      <c r="G6" s="3" t="s">
        <v>7683</v>
      </c>
      <c r="H6" s="3" t="s">
        <v>7684</v>
      </c>
      <c r="I6" s="3" t="s">
        <v>7686</v>
      </c>
      <c r="J6" s="3" t="s">
        <v>5924</v>
      </c>
      <c r="K6" s="3" t="s">
        <v>6292</v>
      </c>
      <c r="L6" s="3" t="s">
        <v>7692</v>
      </c>
      <c r="M6" s="3" t="s">
        <v>7695</v>
      </c>
      <c r="N6" s="3" t="s">
        <v>7696</v>
      </c>
      <c r="O6" s="40" t="s">
        <v>1166</v>
      </c>
    </row>
    <row r="7">
      <c r="A7" s="3" t="s">
        <v>7732</v>
      </c>
      <c r="B7" s="3" t="s">
        <v>6326</v>
      </c>
      <c r="C7" s="3" t="s">
        <v>2469</v>
      </c>
      <c r="D7" s="3" t="s">
        <v>7736</v>
      </c>
      <c r="E7" s="3" t="s">
        <v>7737</v>
      </c>
      <c r="F7" s="3" t="s">
        <v>7738</v>
      </c>
      <c r="G7" s="3" t="s">
        <v>7683</v>
      </c>
      <c r="H7" s="3" t="s">
        <v>7740</v>
      </c>
      <c r="I7" s="3" t="s">
        <v>6320</v>
      </c>
      <c r="J7" s="3" t="s">
        <v>7742</v>
      </c>
      <c r="K7" s="3" t="s">
        <v>6292</v>
      </c>
      <c r="L7" s="3" t="s">
        <v>7744</v>
      </c>
      <c r="M7" s="3" t="s">
        <v>7745</v>
      </c>
      <c r="N7" s="3" t="s">
        <v>7746</v>
      </c>
      <c r="O7" s="40" t="s">
        <v>7747</v>
      </c>
    </row>
    <row r="8">
      <c r="A8" s="3" t="s">
        <v>7765</v>
      </c>
      <c r="B8" s="3" t="s">
        <v>6291</v>
      </c>
      <c r="C8" s="3" t="s">
        <v>788</v>
      </c>
      <c r="D8" s="3" t="s">
        <v>7772</v>
      </c>
      <c r="E8" s="3" t="s">
        <v>7773</v>
      </c>
      <c r="F8" s="3" t="s">
        <v>7775</v>
      </c>
      <c r="G8" s="3" t="s">
        <v>7683</v>
      </c>
      <c r="H8" s="3" t="s">
        <v>7779</v>
      </c>
      <c r="I8" s="3" t="s">
        <v>6329</v>
      </c>
      <c r="J8" s="3" t="s">
        <v>7782</v>
      </c>
      <c r="K8" s="3" t="s">
        <v>6292</v>
      </c>
      <c r="L8" s="3" t="s">
        <v>7787</v>
      </c>
      <c r="M8" s="3" t="s">
        <v>7790</v>
      </c>
      <c r="N8" s="3" t="s">
        <v>7793</v>
      </c>
      <c r="O8" s="3" t="s">
        <v>7795</v>
      </c>
    </row>
    <row r="9">
      <c r="A9" s="3" t="s">
        <v>7796</v>
      </c>
      <c r="B9" s="3" t="s">
        <v>6291</v>
      </c>
      <c r="C9" s="3" t="s">
        <v>6997</v>
      </c>
      <c r="D9" s="3" t="s">
        <v>7801</v>
      </c>
      <c r="E9" s="3" t="s">
        <v>7804</v>
      </c>
      <c r="F9" s="3" t="s">
        <v>7806</v>
      </c>
      <c r="G9" s="3" t="s">
        <v>7808</v>
      </c>
      <c r="H9" s="3" t="s">
        <v>7810</v>
      </c>
      <c r="I9" s="3" t="s">
        <v>7011</v>
      </c>
      <c r="J9" s="3" t="s">
        <v>7815</v>
      </c>
      <c r="K9" s="3" t="s">
        <v>7016</v>
      </c>
      <c r="L9" s="3" t="s">
        <v>7819</v>
      </c>
      <c r="M9" s="3" t="s">
        <v>7821</v>
      </c>
      <c r="N9" s="3" t="s">
        <v>7822</v>
      </c>
      <c r="O9" s="3" t="s">
        <v>7823</v>
      </c>
    </row>
    <row r="10">
      <c r="A10" s="3" t="s">
        <v>7825</v>
      </c>
      <c r="B10" s="3" t="s">
        <v>6291</v>
      </c>
      <c r="C10" s="3" t="s">
        <v>7827</v>
      </c>
      <c r="D10" s="3" t="s">
        <v>7830</v>
      </c>
      <c r="E10" s="3" t="s">
        <v>7831</v>
      </c>
      <c r="F10" s="3" t="s">
        <v>7833</v>
      </c>
      <c r="G10" s="3" t="s">
        <v>7683</v>
      </c>
      <c r="H10" s="3" t="s">
        <v>7835</v>
      </c>
      <c r="I10" s="3" t="s">
        <v>84</v>
      </c>
      <c r="J10" s="3" t="s">
        <v>7837</v>
      </c>
      <c r="K10" s="3" t="s">
        <v>6292</v>
      </c>
      <c r="L10" s="3" t="s">
        <v>7838</v>
      </c>
      <c r="M10" s="3" t="s">
        <v>7839</v>
      </c>
      <c r="N10" s="3" t="s">
        <v>7840</v>
      </c>
      <c r="O10" s="3" t="s">
        <v>7841</v>
      </c>
    </row>
    <row r="11">
      <c r="A11" s="3" t="s">
        <v>7842</v>
      </c>
      <c r="B11" s="3" t="s">
        <v>6291</v>
      </c>
      <c r="C11" s="3" t="s">
        <v>6364</v>
      </c>
      <c r="D11" s="3" t="s">
        <v>7844</v>
      </c>
      <c r="E11" s="3" t="s">
        <v>7846</v>
      </c>
      <c r="F11" s="3" t="s">
        <v>7847</v>
      </c>
      <c r="G11" s="3" t="s">
        <v>7848</v>
      </c>
      <c r="H11" s="3" t="s">
        <v>7849</v>
      </c>
      <c r="I11" s="3" t="s">
        <v>7085</v>
      </c>
      <c r="J11" s="3" t="s">
        <v>6363</v>
      </c>
      <c r="K11" s="3" t="s">
        <v>6292</v>
      </c>
      <c r="L11" s="3" t="s">
        <v>7851</v>
      </c>
      <c r="M11" s="3" t="s">
        <v>7852</v>
      </c>
      <c r="N11" s="3" t="s">
        <v>7853</v>
      </c>
      <c r="O11" s="40" t="s">
        <v>7735</v>
      </c>
    </row>
    <row r="12">
      <c r="A12" s="3" t="s">
        <v>7884</v>
      </c>
      <c r="B12" s="3" t="s">
        <v>6326</v>
      </c>
      <c r="C12" s="3" t="s">
        <v>7887</v>
      </c>
      <c r="D12" s="3" t="s">
        <v>7890</v>
      </c>
      <c r="E12" s="3" t="s">
        <v>7892</v>
      </c>
      <c r="F12" s="3" t="s">
        <v>7893</v>
      </c>
      <c r="G12" s="3" t="s">
        <v>6397</v>
      </c>
      <c r="H12" s="3" t="s">
        <v>7897</v>
      </c>
      <c r="I12" s="3" t="s">
        <v>6363</v>
      </c>
      <c r="J12" s="3" t="s">
        <v>7901</v>
      </c>
      <c r="K12" s="3" t="s">
        <v>7903</v>
      </c>
      <c r="L12" s="3" t="s">
        <v>7905</v>
      </c>
      <c r="M12" s="3" t="s">
        <v>7910</v>
      </c>
      <c r="N12" s="3" t="s">
        <v>7912</v>
      </c>
      <c r="O12" s="3" t="s">
        <v>7914</v>
      </c>
    </row>
    <row r="13">
      <c r="A13" s="3" t="s">
        <v>7917</v>
      </c>
      <c r="B13" s="3" t="s">
        <v>6326</v>
      </c>
      <c r="C13" s="3" t="s">
        <v>7123</v>
      </c>
      <c r="D13" s="3" t="s">
        <v>7921</v>
      </c>
      <c r="E13" s="3" t="s">
        <v>7922</v>
      </c>
      <c r="F13" s="3" t="s">
        <v>7923</v>
      </c>
      <c r="G13" s="3" t="s">
        <v>7130</v>
      </c>
      <c r="H13" s="3" t="s">
        <v>7924</v>
      </c>
      <c r="I13" s="3" t="s">
        <v>7139</v>
      </c>
      <c r="J13" s="3" t="s">
        <v>6681</v>
      </c>
      <c r="K13" s="3" t="s">
        <v>6292</v>
      </c>
      <c r="L13" s="3" t="s">
        <v>7926</v>
      </c>
      <c r="M13" s="3" t="s">
        <v>7928</v>
      </c>
      <c r="N13" s="3" t="s">
        <v>7929</v>
      </c>
      <c r="O13" s="3" t="s">
        <v>7931</v>
      </c>
    </row>
    <row r="14">
      <c r="A14" s="3" t="s">
        <v>7932</v>
      </c>
      <c r="B14" s="3" t="s">
        <v>6291</v>
      </c>
      <c r="C14" s="3" t="s">
        <v>7933</v>
      </c>
      <c r="D14" s="3" t="s">
        <v>7934</v>
      </c>
      <c r="E14" s="3" t="s">
        <v>7935</v>
      </c>
      <c r="F14" s="3" t="s">
        <v>7936</v>
      </c>
      <c r="G14" s="3" t="s">
        <v>7160</v>
      </c>
      <c r="H14" s="3" t="s">
        <v>7938</v>
      </c>
      <c r="I14" s="3" t="s">
        <v>7170</v>
      </c>
      <c r="J14" s="3" t="s">
        <v>7939</v>
      </c>
      <c r="K14" s="3" t="s">
        <v>6292</v>
      </c>
      <c r="L14" s="3" t="s">
        <v>7941</v>
      </c>
      <c r="M14" s="3" t="s">
        <v>7942</v>
      </c>
      <c r="N14" s="3" t="s">
        <v>7943</v>
      </c>
      <c r="O14" s="3" t="s">
        <v>7945</v>
      </c>
    </row>
    <row r="15">
      <c r="A15" s="3" t="s">
        <v>7947</v>
      </c>
      <c r="B15" s="3" t="s">
        <v>6326</v>
      </c>
      <c r="C15" s="3" t="s">
        <v>7949</v>
      </c>
      <c r="D15" s="3" t="s">
        <v>7950</v>
      </c>
      <c r="E15" s="3" t="s">
        <v>7951</v>
      </c>
      <c r="F15" s="3" t="s">
        <v>7953</v>
      </c>
      <c r="G15" s="3" t="s">
        <v>7954</v>
      </c>
      <c r="H15" s="3" t="s">
        <v>7955</v>
      </c>
      <c r="I15" s="3" t="s">
        <v>7956</v>
      </c>
      <c r="J15" s="3" t="s">
        <v>7958</v>
      </c>
      <c r="K15" s="3" t="s">
        <v>6470</v>
      </c>
      <c r="L15" s="3" t="s">
        <v>7960</v>
      </c>
      <c r="M15" s="3" t="s">
        <v>7962</v>
      </c>
      <c r="N15" s="3" t="s">
        <v>7963</v>
      </c>
      <c r="O15" s="40" t="s">
        <v>1092</v>
      </c>
    </row>
  </sheetData>
  <autoFilter ref="$A$1:$O$15"/>
  <conditionalFormatting sqref="K2:K15">
    <cfRule type="containsText" dxfId="1" priority="1" stopIfTrue="1" operator="containsText" text="Ready">
      <formula>NOT(ISERROR(SEARCH(("Ready"),(K2))))</formula>
    </cfRule>
  </conditionalFormatting>
  <conditionalFormatting sqref="B2:B15">
    <cfRule type="cellIs" dxfId="2" priority="2" stopIfTrue="1" operator="equal">
      <formula>"P0"</formula>
    </cfRule>
  </conditionalFormatting>
  <hyperlinks>
    <hyperlink r:id="rId1" ref="O2"/>
    <hyperlink r:id="rId2" ref="O3"/>
    <hyperlink r:id="rId3" ref="O4"/>
    <hyperlink r:id="rId4" ref="O5"/>
    <hyperlink r:id="rId5" ref="O6"/>
    <hyperlink r:id="rId6" ref="O7"/>
    <hyperlink r:id="rId7" ref="O11"/>
    <hyperlink r:id="rId8" ref="O15"/>
  </hyperlinks>
  <drawing r:id="rId9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0.75"/>
    <col customWidth="1" min="8" max="10" width="18.25"/>
    <col customWidth="1" min="11" max="13" width="31.38"/>
  </cols>
  <sheetData>
    <row r="1">
      <c r="A1" s="2" t="s">
        <v>7426</v>
      </c>
      <c r="B1" s="2" t="s">
        <v>7432</v>
      </c>
      <c r="C1" s="2" t="s">
        <v>7435</v>
      </c>
      <c r="D1" s="2" t="s">
        <v>7438</v>
      </c>
      <c r="E1" s="2" t="s">
        <v>7441</v>
      </c>
      <c r="F1" s="2" t="s">
        <v>7442</v>
      </c>
      <c r="G1" s="2" t="s">
        <v>7445</v>
      </c>
      <c r="H1" s="2" t="s">
        <v>5777</v>
      </c>
      <c r="I1" s="2" t="s">
        <v>7449</v>
      </c>
      <c r="J1" s="2" t="s">
        <v>1121</v>
      </c>
      <c r="K1" s="2" t="s">
        <v>7451</v>
      </c>
      <c r="L1" s="2" t="s">
        <v>6708</v>
      </c>
      <c r="M1" s="2" t="s">
        <v>7453</v>
      </c>
    </row>
    <row r="2">
      <c r="A2" s="3" t="s">
        <v>7455</v>
      </c>
      <c r="B2" s="3" t="s">
        <v>7457</v>
      </c>
      <c r="C2" s="3" t="s">
        <v>7460</v>
      </c>
      <c r="D2" s="3" t="s">
        <v>7462</v>
      </c>
      <c r="E2" s="3" t="s">
        <v>7464</v>
      </c>
      <c r="F2" s="3" t="s">
        <v>7467</v>
      </c>
      <c r="G2" s="3" t="s">
        <v>7470</v>
      </c>
      <c r="H2" s="3" t="s">
        <v>6811</v>
      </c>
      <c r="I2" s="3" t="s">
        <v>187</v>
      </c>
      <c r="J2" s="3" t="s">
        <v>7473</v>
      </c>
      <c r="K2" s="3" t="s">
        <v>7475</v>
      </c>
      <c r="L2" s="3" t="s">
        <v>7477</v>
      </c>
      <c r="M2" s="40" t="s">
        <v>1092</v>
      </c>
    </row>
    <row r="3">
      <c r="A3" s="3" t="s">
        <v>7574</v>
      </c>
      <c r="B3" s="3" t="s">
        <v>7576</v>
      </c>
      <c r="C3" s="3" t="s">
        <v>7578</v>
      </c>
      <c r="D3" s="3" t="s">
        <v>7580</v>
      </c>
      <c r="E3" s="3" t="s">
        <v>7582</v>
      </c>
      <c r="F3" s="3" t="s">
        <v>7584</v>
      </c>
      <c r="G3" s="3" t="s">
        <v>7585</v>
      </c>
      <c r="H3" s="3" t="s">
        <v>7235</v>
      </c>
      <c r="I3" s="3" t="s">
        <v>187</v>
      </c>
      <c r="J3" s="3" t="s">
        <v>7473</v>
      </c>
      <c r="K3" s="3" t="s">
        <v>7587</v>
      </c>
      <c r="L3" s="3" t="s">
        <v>7589</v>
      </c>
      <c r="M3" s="3" t="s">
        <v>7591</v>
      </c>
    </row>
    <row r="4">
      <c r="A4" s="3" t="s">
        <v>7592</v>
      </c>
      <c r="B4" s="3" t="s">
        <v>7594</v>
      </c>
      <c r="C4" s="3" t="s">
        <v>7460</v>
      </c>
      <c r="D4" s="3" t="s">
        <v>7596</v>
      </c>
      <c r="E4" s="3" t="s">
        <v>7599</v>
      </c>
      <c r="F4" s="3" t="s">
        <v>7601</v>
      </c>
      <c r="G4" s="3" t="s">
        <v>7602</v>
      </c>
      <c r="H4" s="3" t="s">
        <v>7604</v>
      </c>
      <c r="I4" s="3" t="s">
        <v>187</v>
      </c>
      <c r="J4" s="3" t="s">
        <v>7473</v>
      </c>
      <c r="K4" s="3" t="s">
        <v>7605</v>
      </c>
      <c r="L4" s="3" t="s">
        <v>7606</v>
      </c>
      <c r="M4" s="40" t="s">
        <v>1092</v>
      </c>
    </row>
    <row r="5">
      <c r="A5" s="3" t="s">
        <v>7613</v>
      </c>
      <c r="B5" s="3" t="s">
        <v>7615</v>
      </c>
      <c r="C5" s="3" t="s">
        <v>7618</v>
      </c>
      <c r="D5" s="3" t="s">
        <v>7619</v>
      </c>
      <c r="E5" s="3" t="s">
        <v>7621</v>
      </c>
      <c r="F5" s="3" t="s">
        <v>7624</v>
      </c>
      <c r="G5" s="3" t="s">
        <v>7627</v>
      </c>
      <c r="H5" s="3" t="s">
        <v>6811</v>
      </c>
      <c r="I5" s="3" t="s">
        <v>187</v>
      </c>
      <c r="J5" s="3" t="s">
        <v>7473</v>
      </c>
      <c r="K5" s="3" t="s">
        <v>7633</v>
      </c>
      <c r="L5" s="3" t="s">
        <v>7635</v>
      </c>
      <c r="M5" s="3" t="s">
        <v>7637</v>
      </c>
    </row>
    <row r="6">
      <c r="A6" s="3" t="s">
        <v>7639</v>
      </c>
      <c r="B6" s="3" t="s">
        <v>7642</v>
      </c>
      <c r="C6" s="3" t="s">
        <v>7644</v>
      </c>
      <c r="D6" s="3" t="s">
        <v>7645</v>
      </c>
      <c r="E6" s="3" t="s">
        <v>7646</v>
      </c>
      <c r="F6" s="3" t="s">
        <v>7648</v>
      </c>
      <c r="G6" s="3" t="s">
        <v>7649</v>
      </c>
      <c r="H6" s="3" t="s">
        <v>7650</v>
      </c>
      <c r="I6" s="3" t="s">
        <v>187</v>
      </c>
      <c r="J6" s="3" t="s">
        <v>7473</v>
      </c>
      <c r="K6" s="3" t="s">
        <v>7653</v>
      </c>
      <c r="L6" s="3" t="s">
        <v>7655</v>
      </c>
      <c r="M6" s="3" t="s">
        <v>7657</v>
      </c>
    </row>
    <row r="7">
      <c r="A7" s="3" t="s">
        <v>7658</v>
      </c>
      <c r="B7" s="3" t="s">
        <v>7659</v>
      </c>
      <c r="C7" s="3" t="s">
        <v>7660</v>
      </c>
      <c r="D7" s="3" t="s">
        <v>7662</v>
      </c>
      <c r="E7" s="3" t="s">
        <v>7664</v>
      </c>
      <c r="F7" s="3" t="s">
        <v>7665</v>
      </c>
      <c r="G7" s="3" t="s">
        <v>7667</v>
      </c>
      <c r="H7" s="3" t="s">
        <v>7668</v>
      </c>
      <c r="I7" s="3" t="s">
        <v>187</v>
      </c>
      <c r="J7" s="3" t="s">
        <v>7473</v>
      </c>
      <c r="K7" s="3" t="s">
        <v>7669</v>
      </c>
      <c r="L7" s="3" t="s">
        <v>7671</v>
      </c>
      <c r="M7" s="3" t="s">
        <v>7673</v>
      </c>
    </row>
    <row r="8">
      <c r="A8" s="3" t="s">
        <v>7676</v>
      </c>
      <c r="B8" s="3" t="s">
        <v>7679</v>
      </c>
      <c r="C8" s="3" t="s">
        <v>7682</v>
      </c>
      <c r="D8" s="3" t="s">
        <v>7685</v>
      </c>
      <c r="E8" s="3" t="s">
        <v>7687</v>
      </c>
      <c r="F8" s="3" t="s">
        <v>7689</v>
      </c>
      <c r="G8" s="3" t="s">
        <v>7690</v>
      </c>
      <c r="H8" s="3" t="s">
        <v>7693</v>
      </c>
      <c r="I8" s="3" t="s">
        <v>187</v>
      </c>
      <c r="J8" s="3" t="s">
        <v>7473</v>
      </c>
      <c r="K8" s="3" t="s">
        <v>7697</v>
      </c>
      <c r="L8" s="3" t="s">
        <v>7698</v>
      </c>
      <c r="M8" s="3" t="s">
        <v>7699</v>
      </c>
    </row>
    <row r="9">
      <c r="A9" s="3" t="s">
        <v>7700</v>
      </c>
      <c r="B9" s="3" t="s">
        <v>7702</v>
      </c>
      <c r="C9" s="3" t="s">
        <v>7618</v>
      </c>
      <c r="D9" s="3" t="s">
        <v>7703</v>
      </c>
      <c r="E9" s="3" t="s">
        <v>7705</v>
      </c>
      <c r="F9" s="3" t="s">
        <v>7706</v>
      </c>
      <c r="G9" s="3" t="s">
        <v>7707</v>
      </c>
      <c r="H9" s="3" t="s">
        <v>7708</v>
      </c>
      <c r="I9" s="3" t="s">
        <v>187</v>
      </c>
      <c r="J9" s="3" t="s">
        <v>7473</v>
      </c>
      <c r="K9" s="3" t="s">
        <v>7710</v>
      </c>
      <c r="L9" s="3" t="s">
        <v>7712</v>
      </c>
      <c r="M9" s="3" t="s">
        <v>7714</v>
      </c>
    </row>
    <row r="10">
      <c r="A10" s="3" t="s">
        <v>7717</v>
      </c>
      <c r="B10" s="3" t="s">
        <v>7718</v>
      </c>
      <c r="C10" s="3" t="s">
        <v>7682</v>
      </c>
      <c r="D10" s="3" t="s">
        <v>7722</v>
      </c>
      <c r="E10" s="3" t="s">
        <v>7725</v>
      </c>
      <c r="F10" s="3" t="s">
        <v>7727</v>
      </c>
      <c r="G10" s="3" t="s">
        <v>7728</v>
      </c>
      <c r="H10" s="3" t="s">
        <v>7729</v>
      </c>
      <c r="I10" s="3" t="s">
        <v>187</v>
      </c>
      <c r="J10" s="3" t="s">
        <v>7473</v>
      </c>
      <c r="K10" s="3" t="s">
        <v>7731</v>
      </c>
      <c r="L10" s="3" t="s">
        <v>7733</v>
      </c>
      <c r="M10" s="40" t="s">
        <v>7735</v>
      </c>
    </row>
    <row r="11">
      <c r="A11" s="3" t="s">
        <v>7760</v>
      </c>
      <c r="B11" s="3" t="s">
        <v>7762</v>
      </c>
      <c r="C11" s="3" t="s">
        <v>7763</v>
      </c>
      <c r="D11" s="3" t="s">
        <v>7764</v>
      </c>
      <c r="E11" s="3" t="s">
        <v>7766</v>
      </c>
      <c r="F11" s="3" t="s">
        <v>7767</v>
      </c>
      <c r="G11" s="3" t="s">
        <v>7769</v>
      </c>
      <c r="H11" s="3" t="s">
        <v>7771</v>
      </c>
      <c r="I11" s="3" t="s">
        <v>187</v>
      </c>
      <c r="J11" s="3" t="s">
        <v>7473</v>
      </c>
      <c r="K11" s="3" t="s">
        <v>7774</v>
      </c>
      <c r="L11" s="3" t="s">
        <v>7776</v>
      </c>
      <c r="M11" s="3" t="s">
        <v>7778</v>
      </c>
    </row>
    <row r="12">
      <c r="A12" s="3" t="s">
        <v>7780</v>
      </c>
      <c r="B12" s="3" t="s">
        <v>7781</v>
      </c>
      <c r="C12" s="3" t="s">
        <v>7783</v>
      </c>
      <c r="D12" s="3" t="s">
        <v>7785</v>
      </c>
      <c r="E12" s="3" t="s">
        <v>7786</v>
      </c>
      <c r="F12" s="3" t="s">
        <v>7789</v>
      </c>
      <c r="G12" s="3" t="s">
        <v>7791</v>
      </c>
      <c r="H12" s="3" t="s">
        <v>7794</v>
      </c>
      <c r="I12" s="3" t="s">
        <v>187</v>
      </c>
      <c r="J12" s="3" t="s">
        <v>7473</v>
      </c>
      <c r="K12" s="3" t="s">
        <v>7797</v>
      </c>
      <c r="L12" s="3" t="s">
        <v>7798</v>
      </c>
      <c r="M12" s="3" t="s">
        <v>7800</v>
      </c>
    </row>
    <row r="13">
      <c r="A13" s="3" t="s">
        <v>7803</v>
      </c>
      <c r="B13" s="3" t="s">
        <v>7807</v>
      </c>
      <c r="C13" s="3" t="s">
        <v>7809</v>
      </c>
      <c r="D13" s="3" t="s">
        <v>7812</v>
      </c>
      <c r="E13" s="3" t="s">
        <v>7814</v>
      </c>
      <c r="F13" s="3" t="s">
        <v>7817</v>
      </c>
      <c r="G13" s="3" t="s">
        <v>7820</v>
      </c>
      <c r="H13" s="3" t="s">
        <v>6295</v>
      </c>
      <c r="I13" s="3" t="s">
        <v>187</v>
      </c>
      <c r="J13" s="3" t="s">
        <v>7473</v>
      </c>
      <c r="K13" s="3" t="s">
        <v>7826</v>
      </c>
      <c r="L13" s="3" t="s">
        <v>7828</v>
      </c>
      <c r="M13" s="40" t="s">
        <v>1107</v>
      </c>
    </row>
    <row r="14">
      <c r="A14" s="3" t="s">
        <v>7859</v>
      </c>
      <c r="B14" s="3" t="s">
        <v>7860</v>
      </c>
      <c r="C14" s="3" t="s">
        <v>7460</v>
      </c>
      <c r="D14" s="3" t="s">
        <v>7862</v>
      </c>
      <c r="E14" s="3" t="s">
        <v>7863</v>
      </c>
      <c r="F14" s="3" t="s">
        <v>7864</v>
      </c>
      <c r="G14" s="3" t="s">
        <v>7865</v>
      </c>
      <c r="H14" s="3" t="s">
        <v>7170</v>
      </c>
      <c r="I14" s="3" t="s">
        <v>187</v>
      </c>
      <c r="J14" s="3" t="s">
        <v>7473</v>
      </c>
      <c r="K14" s="3" t="s">
        <v>7867</v>
      </c>
      <c r="L14" s="3" t="s">
        <v>7869</v>
      </c>
      <c r="M14" s="3" t="s">
        <v>7871</v>
      </c>
    </row>
    <row r="15">
      <c r="A15" s="3" t="s">
        <v>7872</v>
      </c>
      <c r="B15" s="3" t="s">
        <v>7873</v>
      </c>
      <c r="C15" s="3" t="s">
        <v>7874</v>
      </c>
      <c r="D15" s="3" t="s">
        <v>7876</v>
      </c>
      <c r="E15" s="3" t="s">
        <v>7878</v>
      </c>
      <c r="F15" s="3" t="s">
        <v>7880</v>
      </c>
      <c r="G15" s="3" t="s">
        <v>7881</v>
      </c>
      <c r="H15" s="3" t="s">
        <v>7882</v>
      </c>
      <c r="I15" s="3" t="s">
        <v>187</v>
      </c>
      <c r="J15" s="3" t="s">
        <v>7473</v>
      </c>
      <c r="K15" s="3" t="s">
        <v>7886</v>
      </c>
      <c r="L15" s="3" t="s">
        <v>7889</v>
      </c>
      <c r="M15" s="3" t="s">
        <v>7841</v>
      </c>
    </row>
    <row r="16">
      <c r="A16" s="3" t="s">
        <v>7894</v>
      </c>
      <c r="B16" s="3" t="s">
        <v>7895</v>
      </c>
      <c r="C16" s="3" t="s">
        <v>7898</v>
      </c>
      <c r="D16" s="3" t="s">
        <v>7899</v>
      </c>
      <c r="E16" s="3" t="s">
        <v>7902</v>
      </c>
      <c r="F16" s="3" t="s">
        <v>7904</v>
      </c>
      <c r="G16" s="3" t="s">
        <v>7907</v>
      </c>
      <c r="H16" s="3" t="s">
        <v>7909</v>
      </c>
      <c r="I16" s="3" t="s">
        <v>187</v>
      </c>
      <c r="J16" s="3" t="s">
        <v>7473</v>
      </c>
      <c r="K16" s="3" t="s">
        <v>7913</v>
      </c>
      <c r="L16" s="3" t="s">
        <v>7916</v>
      </c>
      <c r="M16" s="3" t="s">
        <v>7918</v>
      </c>
    </row>
  </sheetData>
  <autoFilter ref="$A$1:$M$16"/>
  <conditionalFormatting sqref="J2:J16">
    <cfRule type="cellIs" dxfId="0" priority="1" stopIfTrue="1" operator="equal">
      <formula>"Not run"</formula>
    </cfRule>
  </conditionalFormatting>
  <hyperlinks>
    <hyperlink r:id="rId1" ref="M2"/>
    <hyperlink r:id="rId2" ref="M4"/>
    <hyperlink r:id="rId3" ref="M10"/>
    <hyperlink r:id="rId4" ref="M13"/>
  </hyperlinks>
  <drawing r:id="rId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9.5"/>
    <col customWidth="1" min="2" max="3" width="32.63"/>
    <col customWidth="1" min="4" max="20" width="15.13"/>
    <col customWidth="1" min="21" max="21" width="22.63"/>
    <col customWidth="1" min="22" max="23" width="38.88"/>
  </cols>
  <sheetData>
    <row r="1">
      <c r="A1" s="46" t="s">
        <v>7952</v>
      </c>
    </row>
    <row r="2">
      <c r="A2" s="8" t="s">
        <v>7971</v>
      </c>
    </row>
    <row r="3">
      <c r="A3" s="47" t="s">
        <v>7975</v>
      </c>
    </row>
    <row r="4">
      <c r="A4" s="47" t="s">
        <v>7982</v>
      </c>
    </row>
    <row r="6">
      <c r="A6" s="6" t="s">
        <v>7989</v>
      </c>
      <c r="B6" s="6" t="s">
        <v>7991</v>
      </c>
      <c r="C6" s="6" t="s">
        <v>7991</v>
      </c>
      <c r="D6" s="6" t="s">
        <v>7991</v>
      </c>
      <c r="E6" s="6" t="s">
        <v>7991</v>
      </c>
      <c r="F6" s="6" t="s">
        <v>7991</v>
      </c>
      <c r="G6" s="6" t="s">
        <v>7991</v>
      </c>
      <c r="H6" s="6" t="s">
        <v>7991</v>
      </c>
      <c r="I6" s="6" t="s">
        <v>7991</v>
      </c>
      <c r="J6" s="6" t="s">
        <v>7991</v>
      </c>
      <c r="K6" s="6" t="s">
        <v>7991</v>
      </c>
      <c r="L6" s="48">
        <v>0.25</v>
      </c>
      <c r="M6" s="48">
        <v>0.2</v>
      </c>
      <c r="N6" s="48">
        <v>0.15</v>
      </c>
      <c r="O6" s="48">
        <v>0.1</v>
      </c>
      <c r="P6" s="48">
        <v>0.1</v>
      </c>
      <c r="Q6" s="48">
        <v>0.1</v>
      </c>
      <c r="R6" s="48">
        <v>0.05</v>
      </c>
      <c r="S6" s="48">
        <v>0.05</v>
      </c>
    </row>
    <row r="7">
      <c r="A7" s="6" t="s">
        <v>8005</v>
      </c>
    </row>
    <row r="8">
      <c r="A8" s="49" t="s">
        <v>8011</v>
      </c>
      <c r="B8" s="49" t="s">
        <v>8013</v>
      </c>
      <c r="C8" s="49" t="s">
        <v>8015</v>
      </c>
      <c r="D8" s="49" t="s">
        <v>8017</v>
      </c>
      <c r="E8" s="49" t="s">
        <v>8018</v>
      </c>
      <c r="F8" s="49" t="s">
        <v>8019</v>
      </c>
      <c r="G8" s="49" t="s">
        <v>8021</v>
      </c>
      <c r="H8" s="49" t="s">
        <v>8022</v>
      </c>
      <c r="I8" s="49" t="s">
        <v>8024</v>
      </c>
      <c r="J8" s="49" t="s">
        <v>8026</v>
      </c>
      <c r="K8" s="49" t="s">
        <v>8028</v>
      </c>
      <c r="L8" s="49" t="s">
        <v>8030</v>
      </c>
      <c r="M8" s="49" t="s">
        <v>8031</v>
      </c>
      <c r="N8" s="49" t="s">
        <v>8032</v>
      </c>
      <c r="O8" s="49" t="s">
        <v>8033</v>
      </c>
      <c r="P8" s="49" t="s">
        <v>8034</v>
      </c>
      <c r="Q8" s="49" t="s">
        <v>8036</v>
      </c>
      <c r="R8" s="49" t="s">
        <v>8037</v>
      </c>
      <c r="S8" s="49" t="s">
        <v>8039</v>
      </c>
      <c r="T8" s="49" t="s">
        <v>8040</v>
      </c>
      <c r="U8" s="49" t="s">
        <v>8042</v>
      </c>
      <c r="V8" s="49" t="s">
        <v>8044</v>
      </c>
      <c r="W8" s="49" t="s">
        <v>8045</v>
      </c>
    </row>
    <row r="9" ht="66.0" customHeight="1">
      <c r="A9" s="28" t="s">
        <v>8048</v>
      </c>
      <c r="B9" s="28" t="s">
        <v>8051</v>
      </c>
      <c r="C9" s="28" t="s">
        <v>8053</v>
      </c>
      <c r="D9" s="28" t="s">
        <v>187</v>
      </c>
      <c r="E9" s="28" t="s">
        <v>187</v>
      </c>
      <c r="F9" s="28" t="s">
        <v>187</v>
      </c>
      <c r="G9" s="28" t="s">
        <v>187</v>
      </c>
      <c r="H9" s="28" t="s">
        <v>187</v>
      </c>
      <c r="I9" s="28" t="s">
        <v>187</v>
      </c>
      <c r="J9" s="28" t="s">
        <v>187</v>
      </c>
      <c r="K9" s="50" t="str">
        <f t="shared" ref="K9:K13" si="1">IF(COUNTIF(D9:J9,"Pass")=7,"PASS",IF(COUNTIF(D9:J9,"Fail")&gt;0,"FAIL","TBD"))</f>
        <v>TBD</v>
      </c>
      <c r="L9" s="28" t="s">
        <v>7991</v>
      </c>
      <c r="M9" s="28" t="s">
        <v>7991</v>
      </c>
      <c r="N9" s="28" t="s">
        <v>7991</v>
      </c>
      <c r="O9" s="28" t="s">
        <v>7991</v>
      </c>
      <c r="P9" s="28" t="s">
        <v>7991</v>
      </c>
      <c r="Q9" s="28" t="s">
        <v>7991</v>
      </c>
      <c r="R9" s="28" t="s">
        <v>7991</v>
      </c>
      <c r="S9" s="28" t="s">
        <v>7991</v>
      </c>
      <c r="T9" s="50" t="str">
        <f t="shared" ref="T9:T13" si="2">IF(COUNT(L9:S9)=8,SUMPRODUCT(L9:S9,$L$6:$S$6)*20,"")</f>
        <v/>
      </c>
      <c r="U9" s="28" t="s">
        <v>8112</v>
      </c>
      <c r="V9" s="28" t="s">
        <v>8114</v>
      </c>
      <c r="W9" s="28" t="s">
        <v>8115</v>
      </c>
    </row>
    <row r="10" ht="66.0" customHeight="1">
      <c r="A10" s="29" t="s">
        <v>8118</v>
      </c>
      <c r="B10" s="29" t="s">
        <v>8121</v>
      </c>
      <c r="C10" s="29" t="s">
        <v>8123</v>
      </c>
      <c r="D10" s="29" t="s">
        <v>187</v>
      </c>
      <c r="E10" s="29" t="s">
        <v>187</v>
      </c>
      <c r="F10" s="29" t="s">
        <v>187</v>
      </c>
      <c r="G10" s="29" t="s">
        <v>187</v>
      </c>
      <c r="H10" s="29" t="s">
        <v>187</v>
      </c>
      <c r="I10" s="29" t="s">
        <v>187</v>
      </c>
      <c r="J10" s="29" t="s">
        <v>187</v>
      </c>
      <c r="K10" s="54" t="str">
        <f t="shared" si="1"/>
        <v>TBD</v>
      </c>
      <c r="L10" s="29" t="s">
        <v>7991</v>
      </c>
      <c r="M10" s="29" t="s">
        <v>7991</v>
      </c>
      <c r="N10" s="29" t="s">
        <v>7991</v>
      </c>
      <c r="O10" s="29" t="s">
        <v>7991</v>
      </c>
      <c r="P10" s="29" t="s">
        <v>7991</v>
      </c>
      <c r="Q10" s="29" t="s">
        <v>7991</v>
      </c>
      <c r="R10" s="29" t="s">
        <v>7991</v>
      </c>
      <c r="S10" s="29" t="s">
        <v>7991</v>
      </c>
      <c r="T10" s="54" t="str">
        <f t="shared" si="2"/>
        <v/>
      </c>
      <c r="U10" s="29" t="s">
        <v>8146</v>
      </c>
      <c r="V10" s="29" t="s">
        <v>8147</v>
      </c>
      <c r="W10" s="29" t="s">
        <v>8149</v>
      </c>
    </row>
    <row r="11" ht="66.0" customHeight="1">
      <c r="A11" s="29" t="s">
        <v>8150</v>
      </c>
      <c r="B11" s="29" t="s">
        <v>8152</v>
      </c>
      <c r="C11" s="29" t="s">
        <v>8154</v>
      </c>
      <c r="D11" s="29" t="s">
        <v>187</v>
      </c>
      <c r="E11" s="29" t="s">
        <v>187</v>
      </c>
      <c r="F11" s="29" t="s">
        <v>187</v>
      </c>
      <c r="G11" s="29" t="s">
        <v>187</v>
      </c>
      <c r="H11" s="29" t="s">
        <v>187</v>
      </c>
      <c r="I11" s="29" t="s">
        <v>187</v>
      </c>
      <c r="J11" s="29" t="s">
        <v>187</v>
      </c>
      <c r="K11" s="54" t="str">
        <f t="shared" si="1"/>
        <v>TBD</v>
      </c>
      <c r="L11" s="29" t="s">
        <v>7991</v>
      </c>
      <c r="M11" s="29" t="s">
        <v>7991</v>
      </c>
      <c r="N11" s="29" t="s">
        <v>7991</v>
      </c>
      <c r="O11" s="29" t="s">
        <v>7991</v>
      </c>
      <c r="P11" s="29" t="s">
        <v>7991</v>
      </c>
      <c r="Q11" s="29" t="s">
        <v>7991</v>
      </c>
      <c r="R11" s="29" t="s">
        <v>7991</v>
      </c>
      <c r="S11" s="29" t="s">
        <v>7991</v>
      </c>
      <c r="T11" s="54" t="str">
        <f t="shared" si="2"/>
        <v/>
      </c>
      <c r="U11" s="29" t="s">
        <v>8146</v>
      </c>
      <c r="V11" s="29" t="s">
        <v>8195</v>
      </c>
      <c r="W11" s="29" t="s">
        <v>8196</v>
      </c>
    </row>
    <row r="12" ht="66.0" customHeight="1">
      <c r="A12" s="29" t="s">
        <v>8197</v>
      </c>
      <c r="B12" s="29" t="s">
        <v>8199</v>
      </c>
      <c r="C12" s="29" t="s">
        <v>8202</v>
      </c>
      <c r="D12" s="29" t="s">
        <v>187</v>
      </c>
      <c r="E12" s="29" t="s">
        <v>187</v>
      </c>
      <c r="F12" s="29" t="s">
        <v>187</v>
      </c>
      <c r="G12" s="29" t="s">
        <v>187</v>
      </c>
      <c r="H12" s="29" t="s">
        <v>187</v>
      </c>
      <c r="I12" s="29" t="s">
        <v>187</v>
      </c>
      <c r="J12" s="29" t="s">
        <v>187</v>
      </c>
      <c r="K12" s="54" t="str">
        <f t="shared" si="1"/>
        <v>TBD</v>
      </c>
      <c r="L12" s="29" t="s">
        <v>7991</v>
      </c>
      <c r="M12" s="29" t="s">
        <v>7991</v>
      </c>
      <c r="N12" s="29" t="s">
        <v>7991</v>
      </c>
      <c r="O12" s="29" t="s">
        <v>7991</v>
      </c>
      <c r="P12" s="29" t="s">
        <v>7991</v>
      </c>
      <c r="Q12" s="29" t="s">
        <v>7991</v>
      </c>
      <c r="R12" s="29" t="s">
        <v>7991</v>
      </c>
      <c r="S12" s="29" t="s">
        <v>7991</v>
      </c>
      <c r="T12" s="54" t="str">
        <f t="shared" si="2"/>
        <v/>
      </c>
      <c r="U12" s="29" t="s">
        <v>8146</v>
      </c>
      <c r="V12" s="29" t="s">
        <v>8235</v>
      </c>
      <c r="W12" s="29" t="s">
        <v>8238</v>
      </c>
    </row>
    <row r="13" ht="66.0" customHeight="1">
      <c r="A13" s="29" t="s">
        <v>8240</v>
      </c>
      <c r="B13" s="29" t="s">
        <v>8241</v>
      </c>
      <c r="C13" s="29" t="s">
        <v>8243</v>
      </c>
      <c r="D13" s="29" t="s">
        <v>187</v>
      </c>
      <c r="E13" s="29" t="s">
        <v>187</v>
      </c>
      <c r="F13" s="29" t="s">
        <v>187</v>
      </c>
      <c r="G13" s="29" t="s">
        <v>187</v>
      </c>
      <c r="H13" s="29" t="s">
        <v>187</v>
      </c>
      <c r="I13" s="29" t="s">
        <v>187</v>
      </c>
      <c r="J13" s="29" t="s">
        <v>187</v>
      </c>
      <c r="K13" s="54" t="str">
        <f t="shared" si="1"/>
        <v>TBD</v>
      </c>
      <c r="L13" s="29" t="s">
        <v>7991</v>
      </c>
      <c r="M13" s="29" t="s">
        <v>7991</v>
      </c>
      <c r="N13" s="29" t="s">
        <v>7991</v>
      </c>
      <c r="O13" s="29" t="s">
        <v>7991</v>
      </c>
      <c r="P13" s="29" t="s">
        <v>7991</v>
      </c>
      <c r="Q13" s="29" t="s">
        <v>7991</v>
      </c>
      <c r="R13" s="29" t="s">
        <v>7991</v>
      </c>
      <c r="S13" s="29" t="s">
        <v>7991</v>
      </c>
      <c r="T13" s="54" t="str">
        <f t="shared" si="2"/>
        <v/>
      </c>
      <c r="U13" s="29" t="s">
        <v>8146</v>
      </c>
      <c r="V13" s="29" t="s">
        <v>8269</v>
      </c>
      <c r="W13" s="29" t="s">
        <v>8272</v>
      </c>
    </row>
    <row r="15">
      <c r="A15" s="20" t="s">
        <v>8276</v>
      </c>
    </row>
    <row r="16">
      <c r="A16" s="57" t="s">
        <v>8281</v>
      </c>
      <c r="B16" s="57" t="s">
        <v>8283</v>
      </c>
      <c r="C16" s="57" t="s">
        <v>8284</v>
      </c>
    </row>
    <row r="17">
      <c r="A17" s="3" t="s">
        <v>8285</v>
      </c>
      <c r="B17" s="3" t="s">
        <v>8286</v>
      </c>
      <c r="C17" s="3" t="s">
        <v>8287</v>
      </c>
    </row>
    <row r="18">
      <c r="A18" s="3" t="s">
        <v>8288</v>
      </c>
      <c r="B18" s="3" t="s">
        <v>8289</v>
      </c>
      <c r="C18" s="3" t="s">
        <v>8290</v>
      </c>
    </row>
    <row r="19">
      <c r="A19" s="3" t="s">
        <v>8291</v>
      </c>
      <c r="B19" s="3" t="s">
        <v>8292</v>
      </c>
      <c r="C19" s="3" t="s">
        <v>8293</v>
      </c>
    </row>
    <row r="20">
      <c r="A20" s="3" t="s">
        <v>8294</v>
      </c>
      <c r="B20" s="3" t="s">
        <v>8295</v>
      </c>
      <c r="C20" s="3" t="s">
        <v>8296</v>
      </c>
    </row>
    <row r="21">
      <c r="A21" s="3" t="s">
        <v>8297</v>
      </c>
      <c r="B21" s="3" t="s">
        <v>8298</v>
      </c>
      <c r="C21" s="3" t="s">
        <v>8299</v>
      </c>
    </row>
    <row r="22">
      <c r="A22" s="3" t="s">
        <v>8300</v>
      </c>
      <c r="B22" s="3" t="s">
        <v>8301</v>
      </c>
      <c r="C22" s="3" t="s">
        <v>8302</v>
      </c>
    </row>
    <row r="23">
      <c r="A23" s="3" t="s">
        <v>8303</v>
      </c>
      <c r="B23" s="3" t="s">
        <v>8305</v>
      </c>
      <c r="C23" s="3" t="s">
        <v>8307</v>
      </c>
    </row>
  </sheetData>
  <autoFilter ref="$A$8:$W$13"/>
  <mergeCells count="6">
    <mergeCell ref="A1:W1"/>
    <mergeCell ref="A2:W2"/>
    <mergeCell ref="A3:W3"/>
    <mergeCell ref="A4:W4"/>
    <mergeCell ref="A7:W7"/>
    <mergeCell ref="A15:W15"/>
  </mergeCells>
  <conditionalFormatting sqref="D9:K13">
    <cfRule type="cellIs" dxfId="1" priority="1" stopIfTrue="1" operator="equal">
      <formula>"Pass"</formula>
    </cfRule>
  </conditionalFormatting>
  <conditionalFormatting sqref="D9:K13">
    <cfRule type="cellIs" dxfId="2" priority="2" stopIfTrue="1" operator="equal">
      <formula>"Fail"</formula>
    </cfRule>
  </conditionalFormatting>
  <dataValidations>
    <dataValidation type="list" allowBlank="1" showErrorMessage="1" sqref="D9:J13">
      <formula1>"TBD,Pass,Fail"</formula1>
    </dataValidation>
    <dataValidation type="decimal" allowBlank="1" showErrorMessage="1" sqref="L9:S13">
      <formula1>0.0</formula1>
      <formula2>5.0</formula2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3" width="13.25"/>
    <col customWidth="1" min="4" max="8" width="23.88"/>
    <col customWidth="1" min="9" max="14" width="17.0"/>
    <col customWidth="1" min="15" max="19" width="27.63"/>
  </cols>
  <sheetData>
    <row r="1">
      <c r="A1" s="46" t="s">
        <v>8095</v>
      </c>
    </row>
    <row r="2">
      <c r="A2" s="51" t="s">
        <v>8100</v>
      </c>
    </row>
    <row r="4">
      <c r="A4" s="27" t="s">
        <v>8011</v>
      </c>
      <c r="B4" s="27" t="s">
        <v>8120</v>
      </c>
      <c r="C4" s="27" t="s">
        <v>8125</v>
      </c>
      <c r="D4" s="27" t="s">
        <v>8128</v>
      </c>
      <c r="E4" s="27" t="s">
        <v>8028</v>
      </c>
      <c r="F4" s="27" t="s">
        <v>8129</v>
      </c>
      <c r="G4" s="27" t="s">
        <v>8131</v>
      </c>
    </row>
    <row r="5">
      <c r="A5" s="28" t="s">
        <v>8048</v>
      </c>
      <c r="B5" s="50">
        <f t="shared" ref="B5:B9" si="1">COUNTIF($B$13:$B$47,A5)</f>
        <v>7</v>
      </c>
      <c r="C5" s="50">
        <f t="shared" ref="C5:C9" si="2">COUNTIFS($B$13:$B$47,A5,$I$13:$I$47,"Received")+COUNTIFS($B$13:$B$47,A5,$I$13:$I$47,"Validated")</f>
        <v>0</v>
      </c>
      <c r="D5" s="50">
        <f t="shared" ref="D5:D9" si="3">COUNTIFS($B$13:$B$47,A5,$I$13:$I$47,"Validated")</f>
        <v>0</v>
      </c>
      <c r="E5" s="50" t="str">
        <f>'O2C Pilot SBU Selection'!K9</f>
        <v>TBD</v>
      </c>
      <c r="F5" s="50" t="str">
        <f>'O2C Pilot SBU Selection'!U9</f>
        <v>Provisional first-to-check — NOT selected</v>
      </c>
      <c r="G5" s="50" t="str">
        <f>'O2C Pilot SBU Selection'!V9</f>
        <v>Issue P0 requests DR-O2C-01/02/03/04/07/09/10 first. Verify a complete CO→SO→DO→DN/Shipment→Invoice→MR/payment chain and source totals before scoring.</v>
      </c>
    </row>
    <row r="6">
      <c r="A6" s="29" t="s">
        <v>8118</v>
      </c>
      <c r="B6" s="54">
        <f t="shared" si="1"/>
        <v>7</v>
      </c>
      <c r="C6" s="54">
        <f t="shared" si="2"/>
        <v>0</v>
      </c>
      <c r="D6" s="54">
        <f t="shared" si="3"/>
        <v>0</v>
      </c>
      <c r="E6" s="54" t="str">
        <f>'O2C Pilot SBU Selection'!K10</f>
        <v>TBD</v>
      </c>
      <c r="F6" s="54" t="str">
        <f>'O2C Pilot SBU Selection'!U10</f>
        <v>Candidate — evidence not sufficient</v>
      </c>
      <c r="G6" s="54" t="str">
        <f>'O2C Pilot SBU Selection'!V10</f>
        <v>Confirm live BC O2C volume, logistics/POD coverage and cross-system parent references. If AOPL fails a mandatory gate, AGL becomes the next early-wave candidate.</v>
      </c>
    </row>
    <row r="7">
      <c r="A7" s="29" t="s">
        <v>8150</v>
      </c>
      <c r="B7" s="54">
        <f t="shared" si="1"/>
        <v>7</v>
      </c>
      <c r="C7" s="54">
        <f t="shared" si="2"/>
        <v>0</v>
      </c>
      <c r="D7" s="54">
        <f t="shared" si="3"/>
        <v>0</v>
      </c>
      <c r="E7" s="54" t="str">
        <f>'O2C Pilot SBU Selection'!K11</f>
        <v>TBD</v>
      </c>
      <c r="F7" s="54" t="str">
        <f>'O2C Pilot SBU Selection'!U11</f>
        <v>Candidate — evidence not sufficient</v>
      </c>
      <c r="G7" s="54" t="str">
        <f>'O2C Pilot SBU Selection'!V11</f>
        <v>Validate Sales Eco production coverage and determine whether BC/logistics integration produces enough completed 30-day cases for calibration.</v>
      </c>
    </row>
    <row r="8">
      <c r="A8" s="29" t="s">
        <v>8197</v>
      </c>
      <c r="B8" s="54">
        <f t="shared" si="1"/>
        <v>7</v>
      </c>
      <c r="C8" s="54">
        <f t="shared" si="2"/>
        <v>0</v>
      </c>
      <c r="D8" s="54">
        <f t="shared" si="3"/>
        <v>0</v>
      </c>
      <c r="E8" s="54" t="str">
        <f>'O2C Pilot SBU Selection'!K12</f>
        <v>TBD</v>
      </c>
      <c r="F8" s="54" t="str">
        <f>'O2C Pilot SBU Selection'!U12</f>
        <v>Candidate — evidence not sufficient</v>
      </c>
      <c r="G8" s="54" t="str">
        <f>'O2C Pilot SBU Selection'!V12</f>
        <v>Treat existing app production activity as a positive signal, but verify primary-sales document chain, BC financial postings and logistics/POD before ranking.</v>
      </c>
    </row>
    <row r="9">
      <c r="A9" s="29" t="s">
        <v>8240</v>
      </c>
      <c r="B9" s="54">
        <f t="shared" si="1"/>
        <v>7</v>
      </c>
      <c r="C9" s="54">
        <f t="shared" si="2"/>
        <v>0</v>
      </c>
      <c r="D9" s="54">
        <f t="shared" si="3"/>
        <v>0</v>
      </c>
      <c r="E9" s="54" t="str">
        <f>'O2C Pilot SBU Selection'!K13</f>
        <v>TBD</v>
      </c>
      <c r="F9" s="54" t="str">
        <f>'O2C Pilot SBU Selection'!U13</f>
        <v>Candidate — evidence not sufficient</v>
      </c>
      <c r="G9" s="54" t="str">
        <f>'O2C Pilot SBU Selection'!V13</f>
        <v>Do not choose from design/configuration completion. Verify live transaction volume and dependent logistics/finance coverage first.</v>
      </c>
    </row>
    <row r="11">
      <c r="A11" s="58" t="s">
        <v>8329</v>
      </c>
    </row>
    <row r="12">
      <c r="A12" s="49" t="s">
        <v>8334</v>
      </c>
      <c r="B12" s="49" t="s">
        <v>8011</v>
      </c>
      <c r="C12" s="49" t="s">
        <v>7418</v>
      </c>
      <c r="D12" s="49" t="s">
        <v>7420</v>
      </c>
      <c r="E12" s="49" t="s">
        <v>7422</v>
      </c>
      <c r="F12" s="49" t="s">
        <v>8156</v>
      </c>
      <c r="G12" s="49" t="s">
        <v>6390</v>
      </c>
      <c r="H12" s="49" t="s">
        <v>7437</v>
      </c>
      <c r="I12" s="49" t="s">
        <v>7439</v>
      </c>
      <c r="J12" s="49" t="s">
        <v>8342</v>
      </c>
      <c r="K12" s="49" t="s">
        <v>8343</v>
      </c>
      <c r="L12" s="49" t="s">
        <v>8344</v>
      </c>
      <c r="M12" s="49" t="s">
        <v>8346</v>
      </c>
      <c r="N12" s="49" t="s">
        <v>8347</v>
      </c>
      <c r="O12" s="49" t="s">
        <v>8348</v>
      </c>
      <c r="P12" s="49" t="s">
        <v>8349</v>
      </c>
      <c r="Q12" s="49" t="s">
        <v>8350</v>
      </c>
      <c r="R12" s="49" t="s">
        <v>1209</v>
      </c>
      <c r="S12" s="49" t="s">
        <v>44</v>
      </c>
    </row>
    <row r="13" ht="43.5" customHeight="1">
      <c r="A13" s="50" t="str">
        <f t="shared" ref="A13:A47" si="4">B13&amp;"-"&amp;C13</f>
        <v>AOPL-DR-O2C-01</v>
      </c>
      <c r="B13" s="28" t="s">
        <v>8048</v>
      </c>
      <c r="C13" s="28" t="s">
        <v>7452</v>
      </c>
      <c r="D13" s="50" t="str">
        <f t="array" ref="D13">IFERROR(INDEX('O2C Data Request Pack'!$C:$C,MATCH(C13,'O2C Data Request Pack'!$A:$A,0)),"")</f>
        <v>Sales Eco</v>
      </c>
      <c r="E13" s="50" t="str">
        <f t="array" ref="E13">IFERROR(INDEX('O2C Data Request Pack'!$D:$D,MATCH(C13,'O2C Data Request Pack'!$A:$A,0)),"")</f>
        <v>Customer Order header, line and lifecycle history</v>
      </c>
      <c r="F13" s="50" t="str">
        <f t="shared" ref="F13:F47" si="5">SWITCH(C13,"DR-O2C-01","Gate 1","DR-O2C-02","Gate 4","DR-O2C-03","Gate 2","DR-O2C-04","Gate 2","DR-O2C-07","Gate 3","DR-O2C-09","Gate 3","DR-O2C-10","Gate 2","")</f>
        <v>Gate 1</v>
      </c>
      <c r="G13" s="50" t="str">
        <f t="array" ref="G13">IFERROR(INDEX('O2C Data Request Pack'!$I:$I,MATCH(C13,'O2C Data Request Pack'!$A:$A,0)),"")</f>
        <v>Sales Eco Product/Data</v>
      </c>
      <c r="H13" s="50" t="str">
        <f t="array" ref="H13">IFERROR(INDEX('O2C Data Request Pack'!$J:$J,MATCH(C13,'O2C Data Request Pack'!$A:$A,0)),"")</f>
        <v>Sales Process Owner</v>
      </c>
      <c r="I13" s="28" t="s">
        <v>8204</v>
      </c>
      <c r="J13" s="28" t="s">
        <v>7991</v>
      </c>
      <c r="K13" s="28" t="s">
        <v>7991</v>
      </c>
      <c r="L13" s="28" t="s">
        <v>7991</v>
      </c>
      <c r="M13" s="64" t="s">
        <v>7991</v>
      </c>
      <c r="N13" s="28" t="s">
        <v>187</v>
      </c>
      <c r="O13" s="28" t="s">
        <v>7991</v>
      </c>
      <c r="P13" s="28" t="s">
        <v>8364</v>
      </c>
      <c r="Q13" s="50" t="str">
        <f t="shared" ref="Q13:Q47" si="6">IF(AND(I13="Validated",N13="Pass"),"Supports "&amp;F13,"Pending")</f>
        <v>Pending</v>
      </c>
      <c r="R13" s="50" t="str">
        <f t="shared" ref="R13:R47" si="7">IF(AND(I13="Validated",N13="Pass"),"E3 Candidate","Pre-E3")</f>
        <v>Pre-E3</v>
      </c>
      <c r="S13" s="67" t="s">
        <v>73</v>
      </c>
    </row>
    <row r="14" ht="43.5" customHeight="1">
      <c r="A14" s="50" t="str">
        <f t="shared" si="4"/>
        <v>AOPL-DR-O2C-02</v>
      </c>
      <c r="B14" s="28" t="s">
        <v>8048</v>
      </c>
      <c r="C14" s="28" t="s">
        <v>7504</v>
      </c>
      <c r="D14" s="50" t="str">
        <f t="array" ref="D14">IFERROR(INDEX('O2C Data Request Pack'!$C:$C,MATCH(C14,'O2C Data Request Pack'!$A:$A,0)),"")</f>
        <v>Sales Eco ↔ Business Central Integration</v>
      </c>
      <c r="E14" s="50" t="str">
        <f t="array" ref="E14">IFERROR(INDEX('O2C Data Request Pack'!$D:$D,MATCH(C14,'O2C Data Request Pack'!$A:$A,0)),"")</f>
        <v>API request/response/retry/error telemetry</v>
      </c>
      <c r="F14" s="50" t="str">
        <f t="shared" si="5"/>
        <v>Gate 4</v>
      </c>
      <c r="G14" s="50" t="str">
        <f t="array" ref="G14">IFERROR(INDEX('O2C Data Request Pack'!$I:$I,MATCH(C14,'O2C Data Request Pack'!$A:$A,0)),"")</f>
        <v>ERP Integration / Engineering</v>
      </c>
      <c r="H14" s="50" t="str">
        <f t="array" ref="H14">IFERROR(INDEX('O2C Data Request Pack'!$J:$J,MATCH(C14,'O2C Data Request Pack'!$A:$A,0)),"")</f>
        <v>Product + Support</v>
      </c>
      <c r="I14" s="28" t="s">
        <v>8204</v>
      </c>
      <c r="J14" s="50"/>
      <c r="K14" s="50"/>
      <c r="L14" s="50"/>
      <c r="M14" s="72"/>
      <c r="N14" s="28" t="s">
        <v>187</v>
      </c>
      <c r="O14" s="50"/>
      <c r="P14" s="50"/>
      <c r="Q14" s="50" t="str">
        <f t="shared" si="6"/>
        <v>Pending</v>
      </c>
      <c r="R14" s="50" t="str">
        <f t="shared" si="7"/>
        <v>Pre-E3</v>
      </c>
      <c r="S14" s="67" t="s">
        <v>73</v>
      </c>
    </row>
    <row r="15" ht="43.5" customHeight="1">
      <c r="A15" s="50" t="str">
        <f t="shared" si="4"/>
        <v>AOPL-DR-O2C-03</v>
      </c>
      <c r="B15" s="28" t="s">
        <v>8048</v>
      </c>
      <c r="C15" s="28" t="s">
        <v>7555</v>
      </c>
      <c r="D15" s="50" t="str">
        <f t="array" ref="D15">IFERROR(INDEX('O2C Data Request Pack'!$C:$C,MATCH(C15,'O2C Data Request Pack'!$A:$A,0)),"")</f>
        <v>Business Central</v>
      </c>
      <c r="E15" s="50" t="str">
        <f t="array" ref="E15">IFERROR(INDEX('O2C Data Request Pack'!$D:$D,MATCH(C15,'O2C Data Request Pack'!$A:$A,0)),"")</f>
        <v>Sales Orders and lines</v>
      </c>
      <c r="F15" s="50" t="str">
        <f t="shared" si="5"/>
        <v>Gate 2</v>
      </c>
      <c r="G15" s="50" t="str">
        <f t="array" ref="G15">IFERROR(INDEX('O2C Data Request Pack'!$I:$I,MATCH(C15,'O2C Data Request Pack'!$A:$A,0)),"")</f>
        <v>ERP / BC Team</v>
      </c>
      <c r="H15" s="50" t="str">
        <f t="array" ref="H15">IFERROR(INDEX('O2C Data Request Pack'!$J:$J,MATCH(C15,'O2C Data Request Pack'!$A:$A,0)),"")</f>
        <v>Sales + Finance</v>
      </c>
      <c r="I15" s="28" t="s">
        <v>8204</v>
      </c>
      <c r="J15" s="50"/>
      <c r="K15" s="50"/>
      <c r="L15" s="50"/>
      <c r="M15" s="72"/>
      <c r="N15" s="28" t="s">
        <v>187</v>
      </c>
      <c r="O15" s="50"/>
      <c r="P15" s="50"/>
      <c r="Q15" s="50" t="str">
        <f t="shared" si="6"/>
        <v>Pending</v>
      </c>
      <c r="R15" s="50" t="str">
        <f t="shared" si="7"/>
        <v>Pre-E3</v>
      </c>
      <c r="S15" s="67" t="s">
        <v>73</v>
      </c>
    </row>
    <row r="16" ht="43.5" customHeight="1">
      <c r="A16" s="50" t="str">
        <f t="shared" si="4"/>
        <v>AOPL-DR-O2C-04</v>
      </c>
      <c r="B16" s="28" t="s">
        <v>8048</v>
      </c>
      <c r="C16" s="28" t="s">
        <v>7608</v>
      </c>
      <c r="D16" s="50" t="str">
        <f t="array" ref="D16">IFERROR(INDEX('O2C Data Request Pack'!$C:$C,MATCH(C16,'O2C Data Request Pack'!$A:$A,0)),"")</f>
        <v>Business Central</v>
      </c>
      <c r="E16" s="50" t="str">
        <f t="array" ref="E16">IFERROR(INDEX('O2C Data Request Pack'!$D:$D,MATCH(C16,'O2C Data Request Pack'!$A:$A,0)),"")</f>
        <v>Posted Sales Shipments / DN mapping and Sales Invoices</v>
      </c>
      <c r="F16" s="50" t="str">
        <f t="shared" si="5"/>
        <v>Gate 2</v>
      </c>
      <c r="G16" s="50" t="str">
        <f t="array" ref="G16">IFERROR(INDEX('O2C Data Request Pack'!$I:$I,MATCH(C16,'O2C Data Request Pack'!$A:$A,0)),"")</f>
        <v>ERP / BC Team</v>
      </c>
      <c r="H16" s="50" t="str">
        <f t="array" ref="H16">IFERROR(INDEX('O2C Data Request Pack'!$J:$J,MATCH(C16,'O2C Data Request Pack'!$A:$A,0)),"")</f>
        <v>Finance + Sales</v>
      </c>
      <c r="I16" s="28" t="s">
        <v>8204</v>
      </c>
      <c r="J16" s="50"/>
      <c r="K16" s="50"/>
      <c r="L16" s="50"/>
      <c r="M16" s="72"/>
      <c r="N16" s="28" t="s">
        <v>187</v>
      </c>
      <c r="O16" s="50"/>
      <c r="P16" s="50"/>
      <c r="Q16" s="50" t="str">
        <f t="shared" si="6"/>
        <v>Pending</v>
      </c>
      <c r="R16" s="50" t="str">
        <f t="shared" si="7"/>
        <v>Pre-E3</v>
      </c>
      <c r="S16" s="67" t="s">
        <v>73</v>
      </c>
    </row>
    <row r="17" ht="43.5" customHeight="1">
      <c r="A17" s="50" t="str">
        <f t="shared" si="4"/>
        <v>AOPL-DR-O2C-07</v>
      </c>
      <c r="B17" s="28" t="s">
        <v>8048</v>
      </c>
      <c r="C17" s="28" t="s">
        <v>7765</v>
      </c>
      <c r="D17" s="50" t="str">
        <f t="array" ref="D17">IFERROR(INDEX('O2C Data Request Pack'!$C:$C,MATCH(C17,'O2C Data Request Pack'!$A:$A,0)),"")</f>
        <v>Logistics App</v>
      </c>
      <c r="E17" s="50" t="str">
        <f t="array" ref="E17">IFERROR(INDEX('O2C Data Request Pack'!$D:$D,MATCH(C17,'O2C Data Request Pack'!$A:$A,0)),"")</f>
        <v>DO, source allocation, trip planning and assignment</v>
      </c>
      <c r="F17" s="50" t="str">
        <f t="shared" si="5"/>
        <v>Gate 3</v>
      </c>
      <c r="G17" s="50" t="str">
        <f t="array" ref="G17">IFERROR(INDEX('O2C Data Request Pack'!$I:$I,MATCH(C17,'O2C Data Request Pack'!$A:$A,0)),"")</f>
        <v>Logistics Product / Operations</v>
      </c>
      <c r="H17" s="50" t="str">
        <f t="array" ref="H17">IFERROR(INDEX('O2C Data Request Pack'!$J:$J,MATCH(C17,'O2C Data Request Pack'!$A:$A,0)),"")</f>
        <v>Logistics Process Owner</v>
      </c>
      <c r="I17" s="28" t="s">
        <v>8204</v>
      </c>
      <c r="J17" s="50"/>
      <c r="K17" s="50"/>
      <c r="L17" s="50"/>
      <c r="M17" s="72"/>
      <c r="N17" s="28" t="s">
        <v>187</v>
      </c>
      <c r="O17" s="50"/>
      <c r="P17" s="50"/>
      <c r="Q17" s="50" t="str">
        <f t="shared" si="6"/>
        <v>Pending</v>
      </c>
      <c r="R17" s="50" t="str">
        <f t="shared" si="7"/>
        <v>Pre-E3</v>
      </c>
      <c r="S17" s="67" t="s">
        <v>73</v>
      </c>
    </row>
    <row r="18" ht="43.5" customHeight="1">
      <c r="A18" s="50" t="str">
        <f t="shared" si="4"/>
        <v>AOPL-DR-O2C-09</v>
      </c>
      <c r="B18" s="28" t="s">
        <v>8048</v>
      </c>
      <c r="C18" s="28" t="s">
        <v>7825</v>
      </c>
      <c r="D18" s="50" t="str">
        <f t="array" ref="D18">IFERROR(INDEX('O2C Data Request Pack'!$C:$C,MATCH(C18,'O2C Data Request Pack'!$A:$A,0)),"")</f>
        <v>Logistics App / Mobile</v>
      </c>
      <c r="E18" s="50" t="str">
        <f t="array" ref="E18">IFERROR(INDEX('O2C Data Request Pack'!$D:$D,MATCH(C18,'O2C Data Request Pack'!$A:$A,0)),"")</f>
        <v>POD and delivery exceptions</v>
      </c>
      <c r="F18" s="50" t="str">
        <f t="shared" si="5"/>
        <v>Gate 3</v>
      </c>
      <c r="G18" s="50" t="str">
        <f t="array" ref="G18">IFERROR(INDEX('O2C Data Request Pack'!$I:$I,MATCH(C18,'O2C Data Request Pack'!$A:$A,0)),"")</f>
        <v>Logistics</v>
      </c>
      <c r="H18" s="50" t="str">
        <f t="array" ref="H18">IFERROR(INDEX('O2C Data Request Pack'!$J:$J,MATCH(C18,'O2C Data Request Pack'!$A:$A,0)),"")</f>
        <v>Sales + Logistics</v>
      </c>
      <c r="I18" s="28" t="s">
        <v>8204</v>
      </c>
      <c r="J18" s="50"/>
      <c r="K18" s="50"/>
      <c r="L18" s="50"/>
      <c r="M18" s="72"/>
      <c r="N18" s="28" t="s">
        <v>187</v>
      </c>
      <c r="O18" s="50"/>
      <c r="P18" s="50"/>
      <c r="Q18" s="50" t="str">
        <f t="shared" si="6"/>
        <v>Pending</v>
      </c>
      <c r="R18" s="50" t="str">
        <f t="shared" si="7"/>
        <v>Pre-E3</v>
      </c>
      <c r="S18" s="67" t="s">
        <v>73</v>
      </c>
    </row>
    <row r="19" ht="43.5" customHeight="1">
      <c r="A19" s="50" t="str">
        <f t="shared" si="4"/>
        <v>AOPL-DR-O2C-10</v>
      </c>
      <c r="B19" s="28" t="s">
        <v>8048</v>
      </c>
      <c r="C19" s="28" t="s">
        <v>7842</v>
      </c>
      <c r="D19" s="50" t="str">
        <f t="array" ref="D19">IFERROR(INDEX('O2C Data Request Pack'!$C:$C,MATCH(C19,'O2C Data Request Pack'!$A:$A,0)),"")</f>
        <v>Sales Eco MR + Business Central</v>
      </c>
      <c r="E19" s="50" t="str">
        <f t="array" ref="E19">IFERROR(INDEX('O2C Data Request Pack'!$D:$D,MATCH(C19,'O2C Data Request Pack'!$A:$A,0)),"")</f>
        <v>Money Receipt, customer payment and application</v>
      </c>
      <c r="F19" s="50" t="str">
        <f t="shared" si="5"/>
        <v>Gate 2</v>
      </c>
      <c r="G19" s="50" t="str">
        <f t="array" ref="G19">IFERROR(INDEX('O2C Data Request Pack'!$I:$I,MATCH(C19,'O2C Data Request Pack'!$A:$A,0)),"")</f>
        <v>Finance / Collection + ERP</v>
      </c>
      <c r="H19" s="50" t="str">
        <f t="array" ref="H19">IFERROR(INDEX('O2C Data Request Pack'!$J:$J,MATCH(C19,'O2C Data Request Pack'!$A:$A,0)),"")</f>
        <v>Finance / Collection</v>
      </c>
      <c r="I19" s="28" t="s">
        <v>8204</v>
      </c>
      <c r="J19" s="50"/>
      <c r="K19" s="50"/>
      <c r="L19" s="50"/>
      <c r="M19" s="72"/>
      <c r="N19" s="28" t="s">
        <v>187</v>
      </c>
      <c r="O19" s="50"/>
      <c r="P19" s="50"/>
      <c r="Q19" s="50" t="str">
        <f t="shared" si="6"/>
        <v>Pending</v>
      </c>
      <c r="R19" s="50" t="str">
        <f t="shared" si="7"/>
        <v>Pre-E3</v>
      </c>
      <c r="S19" s="67" t="s">
        <v>73</v>
      </c>
    </row>
    <row r="20" ht="43.5" customHeight="1">
      <c r="A20" s="54" t="str">
        <f t="shared" si="4"/>
        <v>AGL-DR-O2C-01</v>
      </c>
      <c r="B20" s="29" t="s">
        <v>8118</v>
      </c>
      <c r="C20" s="29" t="s">
        <v>7452</v>
      </c>
      <c r="D20" s="54" t="str">
        <f t="array" ref="D20">IFERROR(INDEX('O2C Data Request Pack'!$C:$C,MATCH(C20,'O2C Data Request Pack'!$A:$A,0)),"")</f>
        <v>Sales Eco</v>
      </c>
      <c r="E20" s="54" t="str">
        <f t="array" ref="E20">IFERROR(INDEX('O2C Data Request Pack'!$D:$D,MATCH(C20,'O2C Data Request Pack'!$A:$A,0)),"")</f>
        <v>Customer Order header, line and lifecycle history</v>
      </c>
      <c r="F20" s="54" t="str">
        <f t="shared" si="5"/>
        <v>Gate 1</v>
      </c>
      <c r="G20" s="54" t="str">
        <f t="array" ref="G20">IFERROR(INDEX('O2C Data Request Pack'!$I:$I,MATCH(C20,'O2C Data Request Pack'!$A:$A,0)),"")</f>
        <v>Sales Eco Product/Data</v>
      </c>
      <c r="H20" s="54" t="str">
        <f t="array" ref="H20">IFERROR(INDEX('O2C Data Request Pack'!$J:$J,MATCH(C20,'O2C Data Request Pack'!$A:$A,0)),"")</f>
        <v>Sales Process Owner</v>
      </c>
      <c r="I20" s="29" t="s">
        <v>8401</v>
      </c>
      <c r="J20" s="54"/>
      <c r="K20" s="54"/>
      <c r="L20" s="54"/>
      <c r="M20" s="73"/>
      <c r="N20" s="29" t="s">
        <v>187</v>
      </c>
      <c r="O20" s="54"/>
      <c r="P20" s="54"/>
      <c r="Q20" s="54" t="str">
        <f t="shared" si="6"/>
        <v>Pending</v>
      </c>
      <c r="R20" s="54" t="str">
        <f t="shared" si="7"/>
        <v>Pre-E3</v>
      </c>
      <c r="S20" s="74" t="s">
        <v>73</v>
      </c>
    </row>
    <row r="21" ht="43.5" customHeight="1">
      <c r="A21" s="54" t="str">
        <f t="shared" si="4"/>
        <v>AGL-DR-O2C-02</v>
      </c>
      <c r="B21" s="29" t="s">
        <v>8118</v>
      </c>
      <c r="C21" s="29" t="s">
        <v>7504</v>
      </c>
      <c r="D21" s="54" t="str">
        <f t="array" ref="D21">IFERROR(INDEX('O2C Data Request Pack'!$C:$C,MATCH(C21,'O2C Data Request Pack'!$A:$A,0)),"")</f>
        <v>Sales Eco ↔ Business Central Integration</v>
      </c>
      <c r="E21" s="54" t="str">
        <f t="array" ref="E21">IFERROR(INDEX('O2C Data Request Pack'!$D:$D,MATCH(C21,'O2C Data Request Pack'!$A:$A,0)),"")</f>
        <v>API request/response/retry/error telemetry</v>
      </c>
      <c r="F21" s="54" t="str">
        <f t="shared" si="5"/>
        <v>Gate 4</v>
      </c>
      <c r="G21" s="54" t="str">
        <f t="array" ref="G21">IFERROR(INDEX('O2C Data Request Pack'!$I:$I,MATCH(C21,'O2C Data Request Pack'!$A:$A,0)),"")</f>
        <v>ERP Integration / Engineering</v>
      </c>
      <c r="H21" s="54" t="str">
        <f t="array" ref="H21">IFERROR(INDEX('O2C Data Request Pack'!$J:$J,MATCH(C21,'O2C Data Request Pack'!$A:$A,0)),"")</f>
        <v>Product + Support</v>
      </c>
      <c r="I21" s="29" t="s">
        <v>8401</v>
      </c>
      <c r="J21" s="54"/>
      <c r="K21" s="54"/>
      <c r="L21" s="54"/>
      <c r="M21" s="73"/>
      <c r="N21" s="29" t="s">
        <v>187</v>
      </c>
      <c r="O21" s="54"/>
      <c r="P21" s="54"/>
      <c r="Q21" s="54" t="str">
        <f t="shared" si="6"/>
        <v>Pending</v>
      </c>
      <c r="R21" s="54" t="str">
        <f t="shared" si="7"/>
        <v>Pre-E3</v>
      </c>
      <c r="S21" s="74" t="s">
        <v>73</v>
      </c>
    </row>
    <row r="22" ht="43.5" customHeight="1">
      <c r="A22" s="54" t="str">
        <f t="shared" si="4"/>
        <v>AGL-DR-O2C-03</v>
      </c>
      <c r="B22" s="29" t="s">
        <v>8118</v>
      </c>
      <c r="C22" s="29" t="s">
        <v>7555</v>
      </c>
      <c r="D22" s="54" t="str">
        <f t="array" ref="D22">IFERROR(INDEX('O2C Data Request Pack'!$C:$C,MATCH(C22,'O2C Data Request Pack'!$A:$A,0)),"")</f>
        <v>Business Central</v>
      </c>
      <c r="E22" s="54" t="str">
        <f t="array" ref="E22">IFERROR(INDEX('O2C Data Request Pack'!$D:$D,MATCH(C22,'O2C Data Request Pack'!$A:$A,0)),"")</f>
        <v>Sales Orders and lines</v>
      </c>
      <c r="F22" s="54" t="str">
        <f t="shared" si="5"/>
        <v>Gate 2</v>
      </c>
      <c r="G22" s="54" t="str">
        <f t="array" ref="G22">IFERROR(INDEX('O2C Data Request Pack'!$I:$I,MATCH(C22,'O2C Data Request Pack'!$A:$A,0)),"")</f>
        <v>ERP / BC Team</v>
      </c>
      <c r="H22" s="54" t="str">
        <f t="array" ref="H22">IFERROR(INDEX('O2C Data Request Pack'!$J:$J,MATCH(C22,'O2C Data Request Pack'!$A:$A,0)),"")</f>
        <v>Sales + Finance</v>
      </c>
      <c r="I22" s="29" t="s">
        <v>8401</v>
      </c>
      <c r="J22" s="54"/>
      <c r="K22" s="54"/>
      <c r="L22" s="54"/>
      <c r="M22" s="73"/>
      <c r="N22" s="29" t="s">
        <v>187</v>
      </c>
      <c r="O22" s="54"/>
      <c r="P22" s="54"/>
      <c r="Q22" s="54" t="str">
        <f t="shared" si="6"/>
        <v>Pending</v>
      </c>
      <c r="R22" s="54" t="str">
        <f t="shared" si="7"/>
        <v>Pre-E3</v>
      </c>
      <c r="S22" s="74" t="s">
        <v>73</v>
      </c>
    </row>
    <row r="23" ht="43.5" customHeight="1">
      <c r="A23" s="54" t="str">
        <f t="shared" si="4"/>
        <v>AGL-DR-O2C-04</v>
      </c>
      <c r="B23" s="29" t="s">
        <v>8118</v>
      </c>
      <c r="C23" s="29" t="s">
        <v>7608</v>
      </c>
      <c r="D23" s="54" t="str">
        <f t="array" ref="D23">IFERROR(INDEX('O2C Data Request Pack'!$C:$C,MATCH(C23,'O2C Data Request Pack'!$A:$A,0)),"")</f>
        <v>Business Central</v>
      </c>
      <c r="E23" s="54" t="str">
        <f t="array" ref="E23">IFERROR(INDEX('O2C Data Request Pack'!$D:$D,MATCH(C23,'O2C Data Request Pack'!$A:$A,0)),"")</f>
        <v>Posted Sales Shipments / DN mapping and Sales Invoices</v>
      </c>
      <c r="F23" s="54" t="str">
        <f t="shared" si="5"/>
        <v>Gate 2</v>
      </c>
      <c r="G23" s="54" t="str">
        <f t="array" ref="G23">IFERROR(INDEX('O2C Data Request Pack'!$I:$I,MATCH(C23,'O2C Data Request Pack'!$A:$A,0)),"")</f>
        <v>ERP / BC Team</v>
      </c>
      <c r="H23" s="54" t="str">
        <f t="array" ref="H23">IFERROR(INDEX('O2C Data Request Pack'!$J:$J,MATCH(C23,'O2C Data Request Pack'!$A:$A,0)),"")</f>
        <v>Finance + Sales</v>
      </c>
      <c r="I23" s="29" t="s">
        <v>8401</v>
      </c>
      <c r="J23" s="54"/>
      <c r="K23" s="54"/>
      <c r="L23" s="54"/>
      <c r="M23" s="73"/>
      <c r="N23" s="29" t="s">
        <v>187</v>
      </c>
      <c r="O23" s="54"/>
      <c r="P23" s="54"/>
      <c r="Q23" s="54" t="str">
        <f t="shared" si="6"/>
        <v>Pending</v>
      </c>
      <c r="R23" s="54" t="str">
        <f t="shared" si="7"/>
        <v>Pre-E3</v>
      </c>
      <c r="S23" s="74" t="s">
        <v>73</v>
      </c>
    </row>
    <row r="24" ht="43.5" customHeight="1">
      <c r="A24" s="54" t="str">
        <f t="shared" si="4"/>
        <v>AGL-DR-O2C-07</v>
      </c>
      <c r="B24" s="29" t="s">
        <v>8118</v>
      </c>
      <c r="C24" s="29" t="s">
        <v>7765</v>
      </c>
      <c r="D24" s="54" t="str">
        <f t="array" ref="D24">IFERROR(INDEX('O2C Data Request Pack'!$C:$C,MATCH(C24,'O2C Data Request Pack'!$A:$A,0)),"")</f>
        <v>Logistics App</v>
      </c>
      <c r="E24" s="54" t="str">
        <f t="array" ref="E24">IFERROR(INDEX('O2C Data Request Pack'!$D:$D,MATCH(C24,'O2C Data Request Pack'!$A:$A,0)),"")</f>
        <v>DO, source allocation, trip planning and assignment</v>
      </c>
      <c r="F24" s="54" t="str">
        <f t="shared" si="5"/>
        <v>Gate 3</v>
      </c>
      <c r="G24" s="54" t="str">
        <f t="array" ref="G24">IFERROR(INDEX('O2C Data Request Pack'!$I:$I,MATCH(C24,'O2C Data Request Pack'!$A:$A,0)),"")</f>
        <v>Logistics Product / Operations</v>
      </c>
      <c r="H24" s="54" t="str">
        <f t="array" ref="H24">IFERROR(INDEX('O2C Data Request Pack'!$J:$J,MATCH(C24,'O2C Data Request Pack'!$A:$A,0)),"")</f>
        <v>Logistics Process Owner</v>
      </c>
      <c r="I24" s="29" t="s">
        <v>8401</v>
      </c>
      <c r="J24" s="54"/>
      <c r="K24" s="54"/>
      <c r="L24" s="54"/>
      <c r="M24" s="73"/>
      <c r="N24" s="29" t="s">
        <v>187</v>
      </c>
      <c r="O24" s="54"/>
      <c r="P24" s="54"/>
      <c r="Q24" s="54" t="str">
        <f t="shared" si="6"/>
        <v>Pending</v>
      </c>
      <c r="R24" s="54" t="str">
        <f t="shared" si="7"/>
        <v>Pre-E3</v>
      </c>
      <c r="S24" s="74" t="s">
        <v>73</v>
      </c>
    </row>
    <row r="25" ht="43.5" customHeight="1">
      <c r="A25" s="54" t="str">
        <f t="shared" si="4"/>
        <v>AGL-DR-O2C-09</v>
      </c>
      <c r="B25" s="29" t="s">
        <v>8118</v>
      </c>
      <c r="C25" s="29" t="s">
        <v>7825</v>
      </c>
      <c r="D25" s="54" t="str">
        <f t="array" ref="D25">IFERROR(INDEX('O2C Data Request Pack'!$C:$C,MATCH(C25,'O2C Data Request Pack'!$A:$A,0)),"")</f>
        <v>Logistics App / Mobile</v>
      </c>
      <c r="E25" s="54" t="str">
        <f t="array" ref="E25">IFERROR(INDEX('O2C Data Request Pack'!$D:$D,MATCH(C25,'O2C Data Request Pack'!$A:$A,0)),"")</f>
        <v>POD and delivery exceptions</v>
      </c>
      <c r="F25" s="54" t="str">
        <f t="shared" si="5"/>
        <v>Gate 3</v>
      </c>
      <c r="G25" s="54" t="str">
        <f t="array" ref="G25">IFERROR(INDEX('O2C Data Request Pack'!$I:$I,MATCH(C25,'O2C Data Request Pack'!$A:$A,0)),"")</f>
        <v>Logistics</v>
      </c>
      <c r="H25" s="54" t="str">
        <f t="array" ref="H25">IFERROR(INDEX('O2C Data Request Pack'!$J:$J,MATCH(C25,'O2C Data Request Pack'!$A:$A,0)),"")</f>
        <v>Sales + Logistics</v>
      </c>
      <c r="I25" s="29" t="s">
        <v>8401</v>
      </c>
      <c r="J25" s="54"/>
      <c r="K25" s="54"/>
      <c r="L25" s="54"/>
      <c r="M25" s="73"/>
      <c r="N25" s="29" t="s">
        <v>187</v>
      </c>
      <c r="O25" s="54"/>
      <c r="P25" s="54"/>
      <c r="Q25" s="54" t="str">
        <f t="shared" si="6"/>
        <v>Pending</v>
      </c>
      <c r="R25" s="54" t="str">
        <f t="shared" si="7"/>
        <v>Pre-E3</v>
      </c>
      <c r="S25" s="74" t="s">
        <v>73</v>
      </c>
    </row>
    <row r="26" ht="43.5" customHeight="1">
      <c r="A26" s="54" t="str">
        <f t="shared" si="4"/>
        <v>AGL-DR-O2C-10</v>
      </c>
      <c r="B26" s="29" t="s">
        <v>8118</v>
      </c>
      <c r="C26" s="29" t="s">
        <v>7842</v>
      </c>
      <c r="D26" s="54" t="str">
        <f t="array" ref="D26">IFERROR(INDEX('O2C Data Request Pack'!$C:$C,MATCH(C26,'O2C Data Request Pack'!$A:$A,0)),"")</f>
        <v>Sales Eco MR + Business Central</v>
      </c>
      <c r="E26" s="54" t="str">
        <f t="array" ref="E26">IFERROR(INDEX('O2C Data Request Pack'!$D:$D,MATCH(C26,'O2C Data Request Pack'!$A:$A,0)),"")</f>
        <v>Money Receipt, customer payment and application</v>
      </c>
      <c r="F26" s="54" t="str">
        <f t="shared" si="5"/>
        <v>Gate 2</v>
      </c>
      <c r="G26" s="54" t="str">
        <f t="array" ref="G26">IFERROR(INDEX('O2C Data Request Pack'!$I:$I,MATCH(C26,'O2C Data Request Pack'!$A:$A,0)),"")</f>
        <v>Finance / Collection + ERP</v>
      </c>
      <c r="H26" s="54" t="str">
        <f t="array" ref="H26">IFERROR(INDEX('O2C Data Request Pack'!$J:$J,MATCH(C26,'O2C Data Request Pack'!$A:$A,0)),"")</f>
        <v>Finance / Collection</v>
      </c>
      <c r="I26" s="29" t="s">
        <v>8401</v>
      </c>
      <c r="J26" s="54"/>
      <c r="K26" s="54"/>
      <c r="L26" s="54"/>
      <c r="M26" s="73"/>
      <c r="N26" s="29" t="s">
        <v>187</v>
      </c>
      <c r="O26" s="54"/>
      <c r="P26" s="54"/>
      <c r="Q26" s="54" t="str">
        <f t="shared" si="6"/>
        <v>Pending</v>
      </c>
      <c r="R26" s="54" t="str">
        <f t="shared" si="7"/>
        <v>Pre-E3</v>
      </c>
      <c r="S26" s="74" t="s">
        <v>73</v>
      </c>
    </row>
    <row r="27" ht="43.5" customHeight="1">
      <c r="A27" s="54" t="str">
        <f t="shared" si="4"/>
        <v>ACL-DR-O2C-01</v>
      </c>
      <c r="B27" s="29" t="s">
        <v>8150</v>
      </c>
      <c r="C27" s="29" t="s">
        <v>7452</v>
      </c>
      <c r="D27" s="54" t="str">
        <f t="array" ref="D27">IFERROR(INDEX('O2C Data Request Pack'!$C:$C,MATCH(C27,'O2C Data Request Pack'!$A:$A,0)),"")</f>
        <v>Sales Eco</v>
      </c>
      <c r="E27" s="54" t="str">
        <f t="array" ref="E27">IFERROR(INDEX('O2C Data Request Pack'!$D:$D,MATCH(C27,'O2C Data Request Pack'!$A:$A,0)),"")</f>
        <v>Customer Order header, line and lifecycle history</v>
      </c>
      <c r="F27" s="54" t="str">
        <f t="shared" si="5"/>
        <v>Gate 1</v>
      </c>
      <c r="G27" s="54" t="str">
        <f t="array" ref="G27">IFERROR(INDEX('O2C Data Request Pack'!$I:$I,MATCH(C27,'O2C Data Request Pack'!$A:$A,0)),"")</f>
        <v>Sales Eco Product/Data</v>
      </c>
      <c r="H27" s="54" t="str">
        <f t="array" ref="H27">IFERROR(INDEX('O2C Data Request Pack'!$J:$J,MATCH(C27,'O2C Data Request Pack'!$A:$A,0)),"")</f>
        <v>Sales Process Owner</v>
      </c>
      <c r="I27" s="29" t="s">
        <v>8401</v>
      </c>
      <c r="J27" s="54"/>
      <c r="K27" s="54"/>
      <c r="L27" s="54"/>
      <c r="M27" s="73"/>
      <c r="N27" s="29" t="s">
        <v>187</v>
      </c>
      <c r="O27" s="54"/>
      <c r="P27" s="54"/>
      <c r="Q27" s="54" t="str">
        <f t="shared" si="6"/>
        <v>Pending</v>
      </c>
      <c r="R27" s="54" t="str">
        <f t="shared" si="7"/>
        <v>Pre-E3</v>
      </c>
      <c r="S27" s="74" t="s">
        <v>73</v>
      </c>
    </row>
    <row r="28" ht="43.5" customHeight="1">
      <c r="A28" s="54" t="str">
        <f t="shared" si="4"/>
        <v>ACL-DR-O2C-02</v>
      </c>
      <c r="B28" s="29" t="s">
        <v>8150</v>
      </c>
      <c r="C28" s="29" t="s">
        <v>7504</v>
      </c>
      <c r="D28" s="54" t="str">
        <f t="array" ref="D28">IFERROR(INDEX('O2C Data Request Pack'!$C:$C,MATCH(C28,'O2C Data Request Pack'!$A:$A,0)),"")</f>
        <v>Sales Eco ↔ Business Central Integration</v>
      </c>
      <c r="E28" s="54" t="str">
        <f t="array" ref="E28">IFERROR(INDEX('O2C Data Request Pack'!$D:$D,MATCH(C28,'O2C Data Request Pack'!$A:$A,0)),"")</f>
        <v>API request/response/retry/error telemetry</v>
      </c>
      <c r="F28" s="54" t="str">
        <f t="shared" si="5"/>
        <v>Gate 4</v>
      </c>
      <c r="G28" s="54" t="str">
        <f t="array" ref="G28">IFERROR(INDEX('O2C Data Request Pack'!$I:$I,MATCH(C28,'O2C Data Request Pack'!$A:$A,0)),"")</f>
        <v>ERP Integration / Engineering</v>
      </c>
      <c r="H28" s="54" t="str">
        <f t="array" ref="H28">IFERROR(INDEX('O2C Data Request Pack'!$J:$J,MATCH(C28,'O2C Data Request Pack'!$A:$A,0)),"")</f>
        <v>Product + Support</v>
      </c>
      <c r="I28" s="29" t="s">
        <v>8401</v>
      </c>
      <c r="J28" s="54"/>
      <c r="K28" s="54"/>
      <c r="L28" s="54"/>
      <c r="M28" s="73"/>
      <c r="N28" s="29" t="s">
        <v>187</v>
      </c>
      <c r="O28" s="54"/>
      <c r="P28" s="54"/>
      <c r="Q28" s="54" t="str">
        <f t="shared" si="6"/>
        <v>Pending</v>
      </c>
      <c r="R28" s="54" t="str">
        <f t="shared" si="7"/>
        <v>Pre-E3</v>
      </c>
      <c r="S28" s="74" t="s">
        <v>73</v>
      </c>
    </row>
    <row r="29" ht="43.5" customHeight="1">
      <c r="A29" s="54" t="str">
        <f t="shared" si="4"/>
        <v>ACL-DR-O2C-03</v>
      </c>
      <c r="B29" s="29" t="s">
        <v>8150</v>
      </c>
      <c r="C29" s="29" t="s">
        <v>7555</v>
      </c>
      <c r="D29" s="54" t="str">
        <f t="array" ref="D29">IFERROR(INDEX('O2C Data Request Pack'!$C:$C,MATCH(C29,'O2C Data Request Pack'!$A:$A,0)),"")</f>
        <v>Business Central</v>
      </c>
      <c r="E29" s="54" t="str">
        <f t="array" ref="E29">IFERROR(INDEX('O2C Data Request Pack'!$D:$D,MATCH(C29,'O2C Data Request Pack'!$A:$A,0)),"")</f>
        <v>Sales Orders and lines</v>
      </c>
      <c r="F29" s="54" t="str">
        <f t="shared" si="5"/>
        <v>Gate 2</v>
      </c>
      <c r="G29" s="54" t="str">
        <f t="array" ref="G29">IFERROR(INDEX('O2C Data Request Pack'!$I:$I,MATCH(C29,'O2C Data Request Pack'!$A:$A,0)),"")</f>
        <v>ERP / BC Team</v>
      </c>
      <c r="H29" s="54" t="str">
        <f t="array" ref="H29">IFERROR(INDEX('O2C Data Request Pack'!$J:$J,MATCH(C29,'O2C Data Request Pack'!$A:$A,0)),"")</f>
        <v>Sales + Finance</v>
      </c>
      <c r="I29" s="29" t="s">
        <v>8401</v>
      </c>
      <c r="J29" s="54"/>
      <c r="K29" s="54"/>
      <c r="L29" s="54"/>
      <c r="M29" s="73"/>
      <c r="N29" s="29" t="s">
        <v>187</v>
      </c>
      <c r="O29" s="54"/>
      <c r="P29" s="54"/>
      <c r="Q29" s="54" t="str">
        <f t="shared" si="6"/>
        <v>Pending</v>
      </c>
      <c r="R29" s="54" t="str">
        <f t="shared" si="7"/>
        <v>Pre-E3</v>
      </c>
      <c r="S29" s="74" t="s">
        <v>73</v>
      </c>
    </row>
    <row r="30" ht="43.5" customHeight="1">
      <c r="A30" s="54" t="str">
        <f t="shared" si="4"/>
        <v>ACL-DR-O2C-04</v>
      </c>
      <c r="B30" s="29" t="s">
        <v>8150</v>
      </c>
      <c r="C30" s="29" t="s">
        <v>7608</v>
      </c>
      <c r="D30" s="54" t="str">
        <f t="array" ref="D30">IFERROR(INDEX('O2C Data Request Pack'!$C:$C,MATCH(C30,'O2C Data Request Pack'!$A:$A,0)),"")</f>
        <v>Business Central</v>
      </c>
      <c r="E30" s="54" t="str">
        <f t="array" ref="E30">IFERROR(INDEX('O2C Data Request Pack'!$D:$D,MATCH(C30,'O2C Data Request Pack'!$A:$A,0)),"")</f>
        <v>Posted Sales Shipments / DN mapping and Sales Invoices</v>
      </c>
      <c r="F30" s="54" t="str">
        <f t="shared" si="5"/>
        <v>Gate 2</v>
      </c>
      <c r="G30" s="54" t="str">
        <f t="array" ref="G30">IFERROR(INDEX('O2C Data Request Pack'!$I:$I,MATCH(C30,'O2C Data Request Pack'!$A:$A,0)),"")</f>
        <v>ERP / BC Team</v>
      </c>
      <c r="H30" s="54" t="str">
        <f t="array" ref="H30">IFERROR(INDEX('O2C Data Request Pack'!$J:$J,MATCH(C30,'O2C Data Request Pack'!$A:$A,0)),"")</f>
        <v>Finance + Sales</v>
      </c>
      <c r="I30" s="29" t="s">
        <v>8401</v>
      </c>
      <c r="J30" s="54"/>
      <c r="K30" s="54"/>
      <c r="L30" s="54"/>
      <c r="M30" s="73"/>
      <c r="N30" s="29" t="s">
        <v>187</v>
      </c>
      <c r="O30" s="54"/>
      <c r="P30" s="54"/>
      <c r="Q30" s="54" t="str">
        <f t="shared" si="6"/>
        <v>Pending</v>
      </c>
      <c r="R30" s="54" t="str">
        <f t="shared" si="7"/>
        <v>Pre-E3</v>
      </c>
      <c r="S30" s="74" t="s">
        <v>73</v>
      </c>
    </row>
    <row r="31" ht="43.5" customHeight="1">
      <c r="A31" s="54" t="str">
        <f t="shared" si="4"/>
        <v>ACL-DR-O2C-07</v>
      </c>
      <c r="B31" s="29" t="s">
        <v>8150</v>
      </c>
      <c r="C31" s="29" t="s">
        <v>7765</v>
      </c>
      <c r="D31" s="54" t="str">
        <f t="array" ref="D31">IFERROR(INDEX('O2C Data Request Pack'!$C:$C,MATCH(C31,'O2C Data Request Pack'!$A:$A,0)),"")</f>
        <v>Logistics App</v>
      </c>
      <c r="E31" s="54" t="str">
        <f t="array" ref="E31">IFERROR(INDEX('O2C Data Request Pack'!$D:$D,MATCH(C31,'O2C Data Request Pack'!$A:$A,0)),"")</f>
        <v>DO, source allocation, trip planning and assignment</v>
      </c>
      <c r="F31" s="54" t="str">
        <f t="shared" si="5"/>
        <v>Gate 3</v>
      </c>
      <c r="G31" s="54" t="str">
        <f t="array" ref="G31">IFERROR(INDEX('O2C Data Request Pack'!$I:$I,MATCH(C31,'O2C Data Request Pack'!$A:$A,0)),"")</f>
        <v>Logistics Product / Operations</v>
      </c>
      <c r="H31" s="54" t="str">
        <f t="array" ref="H31">IFERROR(INDEX('O2C Data Request Pack'!$J:$J,MATCH(C31,'O2C Data Request Pack'!$A:$A,0)),"")</f>
        <v>Logistics Process Owner</v>
      </c>
      <c r="I31" s="29" t="s">
        <v>8401</v>
      </c>
      <c r="J31" s="54"/>
      <c r="K31" s="54"/>
      <c r="L31" s="54"/>
      <c r="M31" s="73"/>
      <c r="N31" s="29" t="s">
        <v>187</v>
      </c>
      <c r="O31" s="54"/>
      <c r="P31" s="54"/>
      <c r="Q31" s="54" t="str">
        <f t="shared" si="6"/>
        <v>Pending</v>
      </c>
      <c r="R31" s="54" t="str">
        <f t="shared" si="7"/>
        <v>Pre-E3</v>
      </c>
      <c r="S31" s="74" t="s">
        <v>73</v>
      </c>
    </row>
    <row r="32" ht="43.5" customHeight="1">
      <c r="A32" s="54" t="str">
        <f t="shared" si="4"/>
        <v>ACL-DR-O2C-09</v>
      </c>
      <c r="B32" s="29" t="s">
        <v>8150</v>
      </c>
      <c r="C32" s="29" t="s">
        <v>7825</v>
      </c>
      <c r="D32" s="54" t="str">
        <f t="array" ref="D32">IFERROR(INDEX('O2C Data Request Pack'!$C:$C,MATCH(C32,'O2C Data Request Pack'!$A:$A,0)),"")</f>
        <v>Logistics App / Mobile</v>
      </c>
      <c r="E32" s="54" t="str">
        <f t="array" ref="E32">IFERROR(INDEX('O2C Data Request Pack'!$D:$D,MATCH(C32,'O2C Data Request Pack'!$A:$A,0)),"")</f>
        <v>POD and delivery exceptions</v>
      </c>
      <c r="F32" s="54" t="str">
        <f t="shared" si="5"/>
        <v>Gate 3</v>
      </c>
      <c r="G32" s="54" t="str">
        <f t="array" ref="G32">IFERROR(INDEX('O2C Data Request Pack'!$I:$I,MATCH(C32,'O2C Data Request Pack'!$A:$A,0)),"")</f>
        <v>Logistics</v>
      </c>
      <c r="H32" s="54" t="str">
        <f t="array" ref="H32">IFERROR(INDEX('O2C Data Request Pack'!$J:$J,MATCH(C32,'O2C Data Request Pack'!$A:$A,0)),"")</f>
        <v>Sales + Logistics</v>
      </c>
      <c r="I32" s="29" t="s">
        <v>8401</v>
      </c>
      <c r="J32" s="54"/>
      <c r="K32" s="54"/>
      <c r="L32" s="54"/>
      <c r="M32" s="73"/>
      <c r="N32" s="29" t="s">
        <v>187</v>
      </c>
      <c r="O32" s="54"/>
      <c r="P32" s="54"/>
      <c r="Q32" s="54" t="str">
        <f t="shared" si="6"/>
        <v>Pending</v>
      </c>
      <c r="R32" s="54" t="str">
        <f t="shared" si="7"/>
        <v>Pre-E3</v>
      </c>
      <c r="S32" s="74" t="s">
        <v>73</v>
      </c>
    </row>
    <row r="33" ht="43.5" customHeight="1">
      <c r="A33" s="54" t="str">
        <f t="shared" si="4"/>
        <v>ACL-DR-O2C-10</v>
      </c>
      <c r="B33" s="29" t="s">
        <v>8150</v>
      </c>
      <c r="C33" s="29" t="s">
        <v>7842</v>
      </c>
      <c r="D33" s="54" t="str">
        <f t="array" ref="D33">IFERROR(INDEX('O2C Data Request Pack'!$C:$C,MATCH(C33,'O2C Data Request Pack'!$A:$A,0)),"")</f>
        <v>Sales Eco MR + Business Central</v>
      </c>
      <c r="E33" s="54" t="str">
        <f t="array" ref="E33">IFERROR(INDEX('O2C Data Request Pack'!$D:$D,MATCH(C33,'O2C Data Request Pack'!$A:$A,0)),"")</f>
        <v>Money Receipt, customer payment and application</v>
      </c>
      <c r="F33" s="54" t="str">
        <f t="shared" si="5"/>
        <v>Gate 2</v>
      </c>
      <c r="G33" s="54" t="str">
        <f t="array" ref="G33">IFERROR(INDEX('O2C Data Request Pack'!$I:$I,MATCH(C33,'O2C Data Request Pack'!$A:$A,0)),"")</f>
        <v>Finance / Collection + ERP</v>
      </c>
      <c r="H33" s="54" t="str">
        <f t="array" ref="H33">IFERROR(INDEX('O2C Data Request Pack'!$J:$J,MATCH(C33,'O2C Data Request Pack'!$A:$A,0)),"")</f>
        <v>Finance / Collection</v>
      </c>
      <c r="I33" s="29" t="s">
        <v>8401</v>
      </c>
      <c r="J33" s="54"/>
      <c r="K33" s="54"/>
      <c r="L33" s="54"/>
      <c r="M33" s="73"/>
      <c r="N33" s="29" t="s">
        <v>187</v>
      </c>
      <c r="O33" s="54"/>
      <c r="P33" s="54"/>
      <c r="Q33" s="54" t="str">
        <f t="shared" si="6"/>
        <v>Pending</v>
      </c>
      <c r="R33" s="54" t="str">
        <f t="shared" si="7"/>
        <v>Pre-E3</v>
      </c>
      <c r="S33" s="74" t="s">
        <v>73</v>
      </c>
    </row>
    <row r="34" ht="43.5" customHeight="1">
      <c r="A34" s="54" t="str">
        <f t="shared" si="4"/>
        <v>ACSL-DR-O2C-01</v>
      </c>
      <c r="B34" s="29" t="s">
        <v>8197</v>
      </c>
      <c r="C34" s="29" t="s">
        <v>7452</v>
      </c>
      <c r="D34" s="54" t="str">
        <f t="array" ref="D34">IFERROR(INDEX('O2C Data Request Pack'!$C:$C,MATCH(C34,'O2C Data Request Pack'!$A:$A,0)),"")</f>
        <v>Sales Eco</v>
      </c>
      <c r="E34" s="54" t="str">
        <f t="array" ref="E34">IFERROR(INDEX('O2C Data Request Pack'!$D:$D,MATCH(C34,'O2C Data Request Pack'!$A:$A,0)),"")</f>
        <v>Customer Order header, line and lifecycle history</v>
      </c>
      <c r="F34" s="54" t="str">
        <f t="shared" si="5"/>
        <v>Gate 1</v>
      </c>
      <c r="G34" s="54" t="str">
        <f t="array" ref="G34">IFERROR(INDEX('O2C Data Request Pack'!$I:$I,MATCH(C34,'O2C Data Request Pack'!$A:$A,0)),"")</f>
        <v>Sales Eco Product/Data</v>
      </c>
      <c r="H34" s="54" t="str">
        <f t="array" ref="H34">IFERROR(INDEX('O2C Data Request Pack'!$J:$J,MATCH(C34,'O2C Data Request Pack'!$A:$A,0)),"")</f>
        <v>Sales Process Owner</v>
      </c>
      <c r="I34" s="29" t="s">
        <v>8401</v>
      </c>
      <c r="J34" s="54"/>
      <c r="K34" s="54"/>
      <c r="L34" s="54"/>
      <c r="M34" s="73"/>
      <c r="N34" s="29" t="s">
        <v>187</v>
      </c>
      <c r="O34" s="54"/>
      <c r="P34" s="54"/>
      <c r="Q34" s="54" t="str">
        <f t="shared" si="6"/>
        <v>Pending</v>
      </c>
      <c r="R34" s="54" t="str">
        <f t="shared" si="7"/>
        <v>Pre-E3</v>
      </c>
      <c r="S34" s="74" t="s">
        <v>73</v>
      </c>
    </row>
    <row r="35" ht="43.5" customHeight="1">
      <c r="A35" s="54" t="str">
        <f t="shared" si="4"/>
        <v>ACSL-DR-O2C-02</v>
      </c>
      <c r="B35" s="29" t="s">
        <v>8197</v>
      </c>
      <c r="C35" s="29" t="s">
        <v>7504</v>
      </c>
      <c r="D35" s="54" t="str">
        <f t="array" ref="D35">IFERROR(INDEX('O2C Data Request Pack'!$C:$C,MATCH(C35,'O2C Data Request Pack'!$A:$A,0)),"")</f>
        <v>Sales Eco ↔ Business Central Integration</v>
      </c>
      <c r="E35" s="54" t="str">
        <f t="array" ref="E35">IFERROR(INDEX('O2C Data Request Pack'!$D:$D,MATCH(C35,'O2C Data Request Pack'!$A:$A,0)),"")</f>
        <v>API request/response/retry/error telemetry</v>
      </c>
      <c r="F35" s="54" t="str">
        <f t="shared" si="5"/>
        <v>Gate 4</v>
      </c>
      <c r="G35" s="54" t="str">
        <f t="array" ref="G35">IFERROR(INDEX('O2C Data Request Pack'!$I:$I,MATCH(C35,'O2C Data Request Pack'!$A:$A,0)),"")</f>
        <v>ERP Integration / Engineering</v>
      </c>
      <c r="H35" s="54" t="str">
        <f t="array" ref="H35">IFERROR(INDEX('O2C Data Request Pack'!$J:$J,MATCH(C35,'O2C Data Request Pack'!$A:$A,0)),"")</f>
        <v>Product + Support</v>
      </c>
      <c r="I35" s="29" t="s">
        <v>8401</v>
      </c>
      <c r="J35" s="54"/>
      <c r="K35" s="54"/>
      <c r="L35" s="54"/>
      <c r="M35" s="73"/>
      <c r="N35" s="29" t="s">
        <v>187</v>
      </c>
      <c r="O35" s="54"/>
      <c r="P35" s="54"/>
      <c r="Q35" s="54" t="str">
        <f t="shared" si="6"/>
        <v>Pending</v>
      </c>
      <c r="R35" s="54" t="str">
        <f t="shared" si="7"/>
        <v>Pre-E3</v>
      </c>
      <c r="S35" s="74" t="s">
        <v>73</v>
      </c>
    </row>
    <row r="36" ht="43.5" customHeight="1">
      <c r="A36" s="54" t="str">
        <f t="shared" si="4"/>
        <v>ACSL-DR-O2C-03</v>
      </c>
      <c r="B36" s="29" t="s">
        <v>8197</v>
      </c>
      <c r="C36" s="29" t="s">
        <v>7555</v>
      </c>
      <c r="D36" s="54" t="str">
        <f t="array" ref="D36">IFERROR(INDEX('O2C Data Request Pack'!$C:$C,MATCH(C36,'O2C Data Request Pack'!$A:$A,0)),"")</f>
        <v>Business Central</v>
      </c>
      <c r="E36" s="54" t="str">
        <f t="array" ref="E36">IFERROR(INDEX('O2C Data Request Pack'!$D:$D,MATCH(C36,'O2C Data Request Pack'!$A:$A,0)),"")</f>
        <v>Sales Orders and lines</v>
      </c>
      <c r="F36" s="54" t="str">
        <f t="shared" si="5"/>
        <v>Gate 2</v>
      </c>
      <c r="G36" s="54" t="str">
        <f t="array" ref="G36">IFERROR(INDEX('O2C Data Request Pack'!$I:$I,MATCH(C36,'O2C Data Request Pack'!$A:$A,0)),"")</f>
        <v>ERP / BC Team</v>
      </c>
      <c r="H36" s="54" t="str">
        <f t="array" ref="H36">IFERROR(INDEX('O2C Data Request Pack'!$J:$J,MATCH(C36,'O2C Data Request Pack'!$A:$A,0)),"")</f>
        <v>Sales + Finance</v>
      </c>
      <c r="I36" s="29" t="s">
        <v>8401</v>
      </c>
      <c r="J36" s="54"/>
      <c r="K36" s="54"/>
      <c r="L36" s="54"/>
      <c r="M36" s="73"/>
      <c r="N36" s="29" t="s">
        <v>187</v>
      </c>
      <c r="O36" s="54"/>
      <c r="P36" s="54"/>
      <c r="Q36" s="54" t="str">
        <f t="shared" si="6"/>
        <v>Pending</v>
      </c>
      <c r="R36" s="54" t="str">
        <f t="shared" si="7"/>
        <v>Pre-E3</v>
      </c>
      <c r="S36" s="74" t="s">
        <v>73</v>
      </c>
    </row>
    <row r="37" ht="43.5" customHeight="1">
      <c r="A37" s="54" t="str">
        <f t="shared" si="4"/>
        <v>ACSL-DR-O2C-04</v>
      </c>
      <c r="B37" s="29" t="s">
        <v>8197</v>
      </c>
      <c r="C37" s="29" t="s">
        <v>7608</v>
      </c>
      <c r="D37" s="54" t="str">
        <f t="array" ref="D37">IFERROR(INDEX('O2C Data Request Pack'!$C:$C,MATCH(C37,'O2C Data Request Pack'!$A:$A,0)),"")</f>
        <v>Business Central</v>
      </c>
      <c r="E37" s="54" t="str">
        <f t="array" ref="E37">IFERROR(INDEX('O2C Data Request Pack'!$D:$D,MATCH(C37,'O2C Data Request Pack'!$A:$A,0)),"")</f>
        <v>Posted Sales Shipments / DN mapping and Sales Invoices</v>
      </c>
      <c r="F37" s="54" t="str">
        <f t="shared" si="5"/>
        <v>Gate 2</v>
      </c>
      <c r="G37" s="54" t="str">
        <f t="array" ref="G37">IFERROR(INDEX('O2C Data Request Pack'!$I:$I,MATCH(C37,'O2C Data Request Pack'!$A:$A,0)),"")</f>
        <v>ERP / BC Team</v>
      </c>
      <c r="H37" s="54" t="str">
        <f t="array" ref="H37">IFERROR(INDEX('O2C Data Request Pack'!$J:$J,MATCH(C37,'O2C Data Request Pack'!$A:$A,0)),"")</f>
        <v>Finance + Sales</v>
      </c>
      <c r="I37" s="29" t="s">
        <v>8401</v>
      </c>
      <c r="J37" s="54"/>
      <c r="K37" s="54"/>
      <c r="L37" s="54"/>
      <c r="M37" s="73"/>
      <c r="N37" s="29" t="s">
        <v>187</v>
      </c>
      <c r="O37" s="54"/>
      <c r="P37" s="54"/>
      <c r="Q37" s="54" t="str">
        <f t="shared" si="6"/>
        <v>Pending</v>
      </c>
      <c r="R37" s="54" t="str">
        <f t="shared" si="7"/>
        <v>Pre-E3</v>
      </c>
      <c r="S37" s="74" t="s">
        <v>73</v>
      </c>
    </row>
    <row r="38" ht="43.5" customHeight="1">
      <c r="A38" s="54" t="str">
        <f t="shared" si="4"/>
        <v>ACSL-DR-O2C-07</v>
      </c>
      <c r="B38" s="29" t="s">
        <v>8197</v>
      </c>
      <c r="C38" s="29" t="s">
        <v>7765</v>
      </c>
      <c r="D38" s="54" t="str">
        <f t="array" ref="D38">IFERROR(INDEX('O2C Data Request Pack'!$C:$C,MATCH(C38,'O2C Data Request Pack'!$A:$A,0)),"")</f>
        <v>Logistics App</v>
      </c>
      <c r="E38" s="54" t="str">
        <f t="array" ref="E38">IFERROR(INDEX('O2C Data Request Pack'!$D:$D,MATCH(C38,'O2C Data Request Pack'!$A:$A,0)),"")</f>
        <v>DO, source allocation, trip planning and assignment</v>
      </c>
      <c r="F38" s="54" t="str">
        <f t="shared" si="5"/>
        <v>Gate 3</v>
      </c>
      <c r="G38" s="54" t="str">
        <f t="array" ref="G38">IFERROR(INDEX('O2C Data Request Pack'!$I:$I,MATCH(C38,'O2C Data Request Pack'!$A:$A,0)),"")</f>
        <v>Logistics Product / Operations</v>
      </c>
      <c r="H38" s="54" t="str">
        <f t="array" ref="H38">IFERROR(INDEX('O2C Data Request Pack'!$J:$J,MATCH(C38,'O2C Data Request Pack'!$A:$A,0)),"")</f>
        <v>Logistics Process Owner</v>
      </c>
      <c r="I38" s="29" t="s">
        <v>8401</v>
      </c>
      <c r="J38" s="54"/>
      <c r="K38" s="54"/>
      <c r="L38" s="54"/>
      <c r="M38" s="73"/>
      <c r="N38" s="29" t="s">
        <v>187</v>
      </c>
      <c r="O38" s="54"/>
      <c r="P38" s="54"/>
      <c r="Q38" s="54" t="str">
        <f t="shared" si="6"/>
        <v>Pending</v>
      </c>
      <c r="R38" s="54" t="str">
        <f t="shared" si="7"/>
        <v>Pre-E3</v>
      </c>
      <c r="S38" s="74" t="s">
        <v>73</v>
      </c>
    </row>
    <row r="39" ht="43.5" customHeight="1">
      <c r="A39" s="54" t="str">
        <f t="shared" si="4"/>
        <v>ACSL-DR-O2C-09</v>
      </c>
      <c r="B39" s="29" t="s">
        <v>8197</v>
      </c>
      <c r="C39" s="29" t="s">
        <v>7825</v>
      </c>
      <c r="D39" s="54" t="str">
        <f t="array" ref="D39">IFERROR(INDEX('O2C Data Request Pack'!$C:$C,MATCH(C39,'O2C Data Request Pack'!$A:$A,0)),"")</f>
        <v>Logistics App / Mobile</v>
      </c>
      <c r="E39" s="54" t="str">
        <f t="array" ref="E39">IFERROR(INDEX('O2C Data Request Pack'!$D:$D,MATCH(C39,'O2C Data Request Pack'!$A:$A,0)),"")</f>
        <v>POD and delivery exceptions</v>
      </c>
      <c r="F39" s="54" t="str">
        <f t="shared" si="5"/>
        <v>Gate 3</v>
      </c>
      <c r="G39" s="54" t="str">
        <f t="array" ref="G39">IFERROR(INDEX('O2C Data Request Pack'!$I:$I,MATCH(C39,'O2C Data Request Pack'!$A:$A,0)),"")</f>
        <v>Logistics</v>
      </c>
      <c r="H39" s="54" t="str">
        <f t="array" ref="H39">IFERROR(INDEX('O2C Data Request Pack'!$J:$J,MATCH(C39,'O2C Data Request Pack'!$A:$A,0)),"")</f>
        <v>Sales + Logistics</v>
      </c>
      <c r="I39" s="29" t="s">
        <v>8401</v>
      </c>
      <c r="J39" s="54"/>
      <c r="K39" s="54"/>
      <c r="L39" s="54"/>
      <c r="M39" s="73"/>
      <c r="N39" s="29" t="s">
        <v>187</v>
      </c>
      <c r="O39" s="54"/>
      <c r="P39" s="54"/>
      <c r="Q39" s="54" t="str">
        <f t="shared" si="6"/>
        <v>Pending</v>
      </c>
      <c r="R39" s="54" t="str">
        <f t="shared" si="7"/>
        <v>Pre-E3</v>
      </c>
      <c r="S39" s="74" t="s">
        <v>73</v>
      </c>
    </row>
    <row r="40" ht="43.5" customHeight="1">
      <c r="A40" s="54" t="str">
        <f t="shared" si="4"/>
        <v>ACSL-DR-O2C-10</v>
      </c>
      <c r="B40" s="29" t="s">
        <v>8197</v>
      </c>
      <c r="C40" s="29" t="s">
        <v>7842</v>
      </c>
      <c r="D40" s="54" t="str">
        <f t="array" ref="D40">IFERROR(INDEX('O2C Data Request Pack'!$C:$C,MATCH(C40,'O2C Data Request Pack'!$A:$A,0)),"")</f>
        <v>Sales Eco MR + Business Central</v>
      </c>
      <c r="E40" s="54" t="str">
        <f t="array" ref="E40">IFERROR(INDEX('O2C Data Request Pack'!$D:$D,MATCH(C40,'O2C Data Request Pack'!$A:$A,0)),"")</f>
        <v>Money Receipt, customer payment and application</v>
      </c>
      <c r="F40" s="54" t="str">
        <f t="shared" si="5"/>
        <v>Gate 2</v>
      </c>
      <c r="G40" s="54" t="str">
        <f t="array" ref="G40">IFERROR(INDEX('O2C Data Request Pack'!$I:$I,MATCH(C40,'O2C Data Request Pack'!$A:$A,0)),"")</f>
        <v>Finance / Collection + ERP</v>
      </c>
      <c r="H40" s="54" t="str">
        <f t="array" ref="H40">IFERROR(INDEX('O2C Data Request Pack'!$J:$J,MATCH(C40,'O2C Data Request Pack'!$A:$A,0)),"")</f>
        <v>Finance / Collection</v>
      </c>
      <c r="I40" s="29" t="s">
        <v>8401</v>
      </c>
      <c r="J40" s="54"/>
      <c r="K40" s="54"/>
      <c r="L40" s="54"/>
      <c r="M40" s="73"/>
      <c r="N40" s="29" t="s">
        <v>187</v>
      </c>
      <c r="O40" s="54"/>
      <c r="P40" s="54"/>
      <c r="Q40" s="54" t="str">
        <f t="shared" si="6"/>
        <v>Pending</v>
      </c>
      <c r="R40" s="54" t="str">
        <f t="shared" si="7"/>
        <v>Pre-E3</v>
      </c>
      <c r="S40" s="74" t="s">
        <v>73</v>
      </c>
    </row>
    <row r="41" ht="43.5" customHeight="1">
      <c r="A41" s="54" t="str">
        <f t="shared" si="4"/>
        <v>AIL-DR-O2C-01</v>
      </c>
      <c r="B41" s="29" t="s">
        <v>8240</v>
      </c>
      <c r="C41" s="29" t="s">
        <v>7452</v>
      </c>
      <c r="D41" s="54" t="str">
        <f t="array" ref="D41">IFERROR(INDEX('O2C Data Request Pack'!$C:$C,MATCH(C41,'O2C Data Request Pack'!$A:$A,0)),"")</f>
        <v>Sales Eco</v>
      </c>
      <c r="E41" s="54" t="str">
        <f t="array" ref="E41">IFERROR(INDEX('O2C Data Request Pack'!$D:$D,MATCH(C41,'O2C Data Request Pack'!$A:$A,0)),"")</f>
        <v>Customer Order header, line and lifecycle history</v>
      </c>
      <c r="F41" s="54" t="str">
        <f t="shared" si="5"/>
        <v>Gate 1</v>
      </c>
      <c r="G41" s="54" t="str">
        <f t="array" ref="G41">IFERROR(INDEX('O2C Data Request Pack'!$I:$I,MATCH(C41,'O2C Data Request Pack'!$A:$A,0)),"")</f>
        <v>Sales Eco Product/Data</v>
      </c>
      <c r="H41" s="54" t="str">
        <f t="array" ref="H41">IFERROR(INDEX('O2C Data Request Pack'!$J:$J,MATCH(C41,'O2C Data Request Pack'!$A:$A,0)),"")</f>
        <v>Sales Process Owner</v>
      </c>
      <c r="I41" s="29" t="s">
        <v>8401</v>
      </c>
      <c r="J41" s="54"/>
      <c r="K41" s="54"/>
      <c r="L41" s="54"/>
      <c r="M41" s="73"/>
      <c r="N41" s="29" t="s">
        <v>187</v>
      </c>
      <c r="O41" s="54"/>
      <c r="P41" s="54"/>
      <c r="Q41" s="54" t="str">
        <f t="shared" si="6"/>
        <v>Pending</v>
      </c>
      <c r="R41" s="54" t="str">
        <f t="shared" si="7"/>
        <v>Pre-E3</v>
      </c>
      <c r="S41" s="74" t="s">
        <v>73</v>
      </c>
    </row>
    <row r="42" ht="43.5" customHeight="1">
      <c r="A42" s="54" t="str">
        <f t="shared" si="4"/>
        <v>AIL-DR-O2C-02</v>
      </c>
      <c r="B42" s="29" t="s">
        <v>8240</v>
      </c>
      <c r="C42" s="29" t="s">
        <v>7504</v>
      </c>
      <c r="D42" s="54" t="str">
        <f t="array" ref="D42">IFERROR(INDEX('O2C Data Request Pack'!$C:$C,MATCH(C42,'O2C Data Request Pack'!$A:$A,0)),"")</f>
        <v>Sales Eco ↔ Business Central Integration</v>
      </c>
      <c r="E42" s="54" t="str">
        <f t="array" ref="E42">IFERROR(INDEX('O2C Data Request Pack'!$D:$D,MATCH(C42,'O2C Data Request Pack'!$A:$A,0)),"")</f>
        <v>API request/response/retry/error telemetry</v>
      </c>
      <c r="F42" s="54" t="str">
        <f t="shared" si="5"/>
        <v>Gate 4</v>
      </c>
      <c r="G42" s="54" t="str">
        <f t="array" ref="G42">IFERROR(INDEX('O2C Data Request Pack'!$I:$I,MATCH(C42,'O2C Data Request Pack'!$A:$A,0)),"")</f>
        <v>ERP Integration / Engineering</v>
      </c>
      <c r="H42" s="54" t="str">
        <f t="array" ref="H42">IFERROR(INDEX('O2C Data Request Pack'!$J:$J,MATCH(C42,'O2C Data Request Pack'!$A:$A,0)),"")</f>
        <v>Product + Support</v>
      </c>
      <c r="I42" s="29" t="s">
        <v>8401</v>
      </c>
      <c r="J42" s="54"/>
      <c r="K42" s="54"/>
      <c r="L42" s="54"/>
      <c r="M42" s="73"/>
      <c r="N42" s="29" t="s">
        <v>187</v>
      </c>
      <c r="O42" s="54"/>
      <c r="P42" s="54"/>
      <c r="Q42" s="54" t="str">
        <f t="shared" si="6"/>
        <v>Pending</v>
      </c>
      <c r="R42" s="54" t="str">
        <f t="shared" si="7"/>
        <v>Pre-E3</v>
      </c>
      <c r="S42" s="74" t="s">
        <v>73</v>
      </c>
    </row>
    <row r="43" ht="43.5" customHeight="1">
      <c r="A43" s="54" t="str">
        <f t="shared" si="4"/>
        <v>AIL-DR-O2C-03</v>
      </c>
      <c r="B43" s="29" t="s">
        <v>8240</v>
      </c>
      <c r="C43" s="29" t="s">
        <v>7555</v>
      </c>
      <c r="D43" s="54" t="str">
        <f t="array" ref="D43">IFERROR(INDEX('O2C Data Request Pack'!$C:$C,MATCH(C43,'O2C Data Request Pack'!$A:$A,0)),"")</f>
        <v>Business Central</v>
      </c>
      <c r="E43" s="54" t="str">
        <f t="array" ref="E43">IFERROR(INDEX('O2C Data Request Pack'!$D:$D,MATCH(C43,'O2C Data Request Pack'!$A:$A,0)),"")</f>
        <v>Sales Orders and lines</v>
      </c>
      <c r="F43" s="54" t="str">
        <f t="shared" si="5"/>
        <v>Gate 2</v>
      </c>
      <c r="G43" s="54" t="str">
        <f t="array" ref="G43">IFERROR(INDEX('O2C Data Request Pack'!$I:$I,MATCH(C43,'O2C Data Request Pack'!$A:$A,0)),"")</f>
        <v>ERP / BC Team</v>
      </c>
      <c r="H43" s="54" t="str">
        <f t="array" ref="H43">IFERROR(INDEX('O2C Data Request Pack'!$J:$J,MATCH(C43,'O2C Data Request Pack'!$A:$A,0)),"")</f>
        <v>Sales + Finance</v>
      </c>
      <c r="I43" s="29" t="s">
        <v>8401</v>
      </c>
      <c r="J43" s="54"/>
      <c r="K43" s="54"/>
      <c r="L43" s="54"/>
      <c r="M43" s="73"/>
      <c r="N43" s="29" t="s">
        <v>187</v>
      </c>
      <c r="O43" s="54"/>
      <c r="P43" s="54"/>
      <c r="Q43" s="54" t="str">
        <f t="shared" si="6"/>
        <v>Pending</v>
      </c>
      <c r="R43" s="54" t="str">
        <f t="shared" si="7"/>
        <v>Pre-E3</v>
      </c>
      <c r="S43" s="74" t="s">
        <v>73</v>
      </c>
    </row>
    <row r="44" ht="43.5" customHeight="1">
      <c r="A44" s="54" t="str">
        <f t="shared" si="4"/>
        <v>AIL-DR-O2C-04</v>
      </c>
      <c r="B44" s="29" t="s">
        <v>8240</v>
      </c>
      <c r="C44" s="29" t="s">
        <v>7608</v>
      </c>
      <c r="D44" s="54" t="str">
        <f t="array" ref="D44">IFERROR(INDEX('O2C Data Request Pack'!$C:$C,MATCH(C44,'O2C Data Request Pack'!$A:$A,0)),"")</f>
        <v>Business Central</v>
      </c>
      <c r="E44" s="54" t="str">
        <f t="array" ref="E44">IFERROR(INDEX('O2C Data Request Pack'!$D:$D,MATCH(C44,'O2C Data Request Pack'!$A:$A,0)),"")</f>
        <v>Posted Sales Shipments / DN mapping and Sales Invoices</v>
      </c>
      <c r="F44" s="54" t="str">
        <f t="shared" si="5"/>
        <v>Gate 2</v>
      </c>
      <c r="G44" s="54" t="str">
        <f t="array" ref="G44">IFERROR(INDEX('O2C Data Request Pack'!$I:$I,MATCH(C44,'O2C Data Request Pack'!$A:$A,0)),"")</f>
        <v>ERP / BC Team</v>
      </c>
      <c r="H44" s="54" t="str">
        <f t="array" ref="H44">IFERROR(INDEX('O2C Data Request Pack'!$J:$J,MATCH(C44,'O2C Data Request Pack'!$A:$A,0)),"")</f>
        <v>Finance + Sales</v>
      </c>
      <c r="I44" s="29" t="s">
        <v>8401</v>
      </c>
      <c r="J44" s="54"/>
      <c r="K44" s="54"/>
      <c r="L44" s="54"/>
      <c r="M44" s="73"/>
      <c r="N44" s="29" t="s">
        <v>187</v>
      </c>
      <c r="O44" s="54"/>
      <c r="P44" s="54"/>
      <c r="Q44" s="54" t="str">
        <f t="shared" si="6"/>
        <v>Pending</v>
      </c>
      <c r="R44" s="54" t="str">
        <f t="shared" si="7"/>
        <v>Pre-E3</v>
      </c>
      <c r="S44" s="74" t="s">
        <v>73</v>
      </c>
    </row>
    <row r="45" ht="43.5" customHeight="1">
      <c r="A45" s="54" t="str">
        <f t="shared" si="4"/>
        <v>AIL-DR-O2C-07</v>
      </c>
      <c r="B45" s="29" t="s">
        <v>8240</v>
      </c>
      <c r="C45" s="29" t="s">
        <v>7765</v>
      </c>
      <c r="D45" s="54" t="str">
        <f t="array" ref="D45">IFERROR(INDEX('O2C Data Request Pack'!$C:$C,MATCH(C45,'O2C Data Request Pack'!$A:$A,0)),"")</f>
        <v>Logistics App</v>
      </c>
      <c r="E45" s="54" t="str">
        <f t="array" ref="E45">IFERROR(INDEX('O2C Data Request Pack'!$D:$D,MATCH(C45,'O2C Data Request Pack'!$A:$A,0)),"")</f>
        <v>DO, source allocation, trip planning and assignment</v>
      </c>
      <c r="F45" s="54" t="str">
        <f t="shared" si="5"/>
        <v>Gate 3</v>
      </c>
      <c r="G45" s="54" t="str">
        <f t="array" ref="G45">IFERROR(INDEX('O2C Data Request Pack'!$I:$I,MATCH(C45,'O2C Data Request Pack'!$A:$A,0)),"")</f>
        <v>Logistics Product / Operations</v>
      </c>
      <c r="H45" s="54" t="str">
        <f t="array" ref="H45">IFERROR(INDEX('O2C Data Request Pack'!$J:$J,MATCH(C45,'O2C Data Request Pack'!$A:$A,0)),"")</f>
        <v>Logistics Process Owner</v>
      </c>
      <c r="I45" s="29" t="s">
        <v>8401</v>
      </c>
      <c r="J45" s="54"/>
      <c r="K45" s="54"/>
      <c r="L45" s="54"/>
      <c r="M45" s="73"/>
      <c r="N45" s="29" t="s">
        <v>187</v>
      </c>
      <c r="O45" s="54"/>
      <c r="P45" s="54"/>
      <c r="Q45" s="54" t="str">
        <f t="shared" si="6"/>
        <v>Pending</v>
      </c>
      <c r="R45" s="54" t="str">
        <f t="shared" si="7"/>
        <v>Pre-E3</v>
      </c>
      <c r="S45" s="74" t="s">
        <v>73</v>
      </c>
    </row>
    <row r="46" ht="43.5" customHeight="1">
      <c r="A46" s="54" t="str">
        <f t="shared" si="4"/>
        <v>AIL-DR-O2C-09</v>
      </c>
      <c r="B46" s="29" t="s">
        <v>8240</v>
      </c>
      <c r="C46" s="29" t="s">
        <v>7825</v>
      </c>
      <c r="D46" s="54" t="str">
        <f t="array" ref="D46">IFERROR(INDEX('O2C Data Request Pack'!$C:$C,MATCH(C46,'O2C Data Request Pack'!$A:$A,0)),"")</f>
        <v>Logistics App / Mobile</v>
      </c>
      <c r="E46" s="54" t="str">
        <f t="array" ref="E46">IFERROR(INDEX('O2C Data Request Pack'!$D:$D,MATCH(C46,'O2C Data Request Pack'!$A:$A,0)),"")</f>
        <v>POD and delivery exceptions</v>
      </c>
      <c r="F46" s="54" t="str">
        <f t="shared" si="5"/>
        <v>Gate 3</v>
      </c>
      <c r="G46" s="54" t="str">
        <f t="array" ref="G46">IFERROR(INDEX('O2C Data Request Pack'!$I:$I,MATCH(C46,'O2C Data Request Pack'!$A:$A,0)),"")</f>
        <v>Logistics</v>
      </c>
      <c r="H46" s="54" t="str">
        <f t="array" ref="H46">IFERROR(INDEX('O2C Data Request Pack'!$J:$J,MATCH(C46,'O2C Data Request Pack'!$A:$A,0)),"")</f>
        <v>Sales + Logistics</v>
      </c>
      <c r="I46" s="29" t="s">
        <v>8401</v>
      </c>
      <c r="J46" s="54"/>
      <c r="K46" s="54"/>
      <c r="L46" s="54"/>
      <c r="M46" s="73"/>
      <c r="N46" s="29" t="s">
        <v>187</v>
      </c>
      <c r="O46" s="54"/>
      <c r="P46" s="54"/>
      <c r="Q46" s="54" t="str">
        <f t="shared" si="6"/>
        <v>Pending</v>
      </c>
      <c r="R46" s="54" t="str">
        <f t="shared" si="7"/>
        <v>Pre-E3</v>
      </c>
      <c r="S46" s="74" t="s">
        <v>73</v>
      </c>
    </row>
    <row r="47" ht="43.5" customHeight="1">
      <c r="A47" s="54" t="str">
        <f t="shared" si="4"/>
        <v>AIL-DR-O2C-10</v>
      </c>
      <c r="B47" s="29" t="s">
        <v>8240</v>
      </c>
      <c r="C47" s="29" t="s">
        <v>7842</v>
      </c>
      <c r="D47" s="54" t="str">
        <f t="array" ref="D47">IFERROR(INDEX('O2C Data Request Pack'!$C:$C,MATCH(C47,'O2C Data Request Pack'!$A:$A,0)),"")</f>
        <v>Sales Eco MR + Business Central</v>
      </c>
      <c r="E47" s="54" t="str">
        <f t="array" ref="E47">IFERROR(INDEX('O2C Data Request Pack'!$D:$D,MATCH(C47,'O2C Data Request Pack'!$A:$A,0)),"")</f>
        <v>Money Receipt, customer payment and application</v>
      </c>
      <c r="F47" s="54" t="str">
        <f t="shared" si="5"/>
        <v>Gate 2</v>
      </c>
      <c r="G47" s="54" t="str">
        <f t="array" ref="G47">IFERROR(INDEX('O2C Data Request Pack'!$I:$I,MATCH(C47,'O2C Data Request Pack'!$A:$A,0)),"")</f>
        <v>Finance / Collection + ERP</v>
      </c>
      <c r="H47" s="54" t="str">
        <f t="array" ref="H47">IFERROR(INDEX('O2C Data Request Pack'!$J:$J,MATCH(C47,'O2C Data Request Pack'!$A:$A,0)),"")</f>
        <v>Finance / Collection</v>
      </c>
      <c r="I47" s="29" t="s">
        <v>8401</v>
      </c>
      <c r="J47" s="54"/>
      <c r="K47" s="54"/>
      <c r="L47" s="54"/>
      <c r="M47" s="73"/>
      <c r="N47" s="29" t="s">
        <v>187</v>
      </c>
      <c r="O47" s="54"/>
      <c r="P47" s="54"/>
      <c r="Q47" s="54" t="str">
        <f t="shared" si="6"/>
        <v>Pending</v>
      </c>
      <c r="R47" s="54" t="str">
        <f t="shared" si="7"/>
        <v>Pre-E3</v>
      </c>
      <c r="S47" s="74" t="s">
        <v>73</v>
      </c>
    </row>
  </sheetData>
  <autoFilter ref="$A$12:$S$47"/>
  <mergeCells count="3">
    <mergeCell ref="A1:S1"/>
    <mergeCell ref="A2:S2"/>
    <mergeCell ref="A11:S11"/>
  </mergeCells>
  <conditionalFormatting sqref="I13:I47">
    <cfRule type="cellIs" dxfId="1" priority="1" stopIfTrue="1" operator="equal">
      <formula>"Validated"</formula>
    </cfRule>
  </conditionalFormatting>
  <conditionalFormatting sqref="I13:I47">
    <cfRule type="cellIs" dxfId="2" priority="2" stopIfTrue="1" operator="equal">
      <formula>"Blocked"</formula>
    </cfRule>
  </conditionalFormatting>
  <dataValidations>
    <dataValidation type="list" allowBlank="1" showErrorMessage="1" sqref="N13:N47">
      <formula1>"TBD,Pass,Fail"</formula1>
    </dataValidation>
    <dataValidation type="list" allowBlank="1" showErrorMessage="1" sqref="I13:I47">
      <formula1>"Queued,Ready to issue,Issued,Received,Validated,Blocked"</formula1>
    </dataValidation>
    <dataValidation type="decimal" allowBlank="1" showErrorMessage="1" sqref="M13:M47">
      <formula1>0.0</formula1>
      <formula2>1.0</formula2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4" width="18.88"/>
    <col customWidth="1" min="5" max="11" width="32.0"/>
    <col customWidth="1" min="12" max="18" width="23.88"/>
  </cols>
  <sheetData>
    <row r="1" ht="27.0" customHeight="1">
      <c r="A1" s="52" t="s">
        <v>8104</v>
      </c>
    </row>
    <row r="2" ht="27.0" customHeight="1">
      <c r="A2" s="53" t="s">
        <v>8127</v>
      </c>
    </row>
    <row r="3" ht="27.0" customHeight="1">
      <c r="A3" s="53" t="s">
        <v>8133</v>
      </c>
    </row>
    <row r="4" ht="27.0" customHeight="1">
      <c r="A4" s="53" t="s">
        <v>8137</v>
      </c>
    </row>
    <row r="5" ht="27.0" customHeight="1">
      <c r="A5" s="53" t="s">
        <v>8141</v>
      </c>
    </row>
    <row r="7">
      <c r="A7" s="55" t="s">
        <v>8144</v>
      </c>
    </row>
    <row r="8" ht="56.25" customHeight="1">
      <c r="A8" s="56" t="s">
        <v>7418</v>
      </c>
      <c r="B8" s="56" t="s">
        <v>8156</v>
      </c>
      <c r="C8" s="56" t="s">
        <v>8157</v>
      </c>
      <c r="D8" s="56" t="s">
        <v>7437</v>
      </c>
      <c r="E8" s="56" t="s">
        <v>8158</v>
      </c>
      <c r="F8" s="56" t="s">
        <v>7422</v>
      </c>
      <c r="G8" s="56" t="s">
        <v>8161</v>
      </c>
      <c r="H8" s="56" t="s">
        <v>7424</v>
      </c>
      <c r="I8" s="56" t="s">
        <v>7427</v>
      </c>
      <c r="J8" s="56" t="s">
        <v>8163</v>
      </c>
      <c r="K8" s="56" t="s">
        <v>5780</v>
      </c>
      <c r="L8" s="56" t="s">
        <v>8165</v>
      </c>
      <c r="M8" s="56" t="s">
        <v>8167</v>
      </c>
      <c r="N8" s="56" t="s">
        <v>8168</v>
      </c>
      <c r="O8" s="56" t="s">
        <v>8170</v>
      </c>
      <c r="P8" s="56" t="s">
        <v>8172</v>
      </c>
      <c r="Q8" s="56" t="s">
        <v>8174</v>
      </c>
      <c r="R8" s="56" t="s">
        <v>8175</v>
      </c>
    </row>
    <row r="9" ht="56.25" customHeight="1">
      <c r="A9" s="3" t="s">
        <v>7452</v>
      </c>
      <c r="B9" s="3" t="s">
        <v>8177</v>
      </c>
      <c r="C9" s="3" t="s">
        <v>6791</v>
      </c>
      <c r="D9" s="3" t="s">
        <v>8179</v>
      </c>
      <c r="E9" s="3" t="s">
        <v>8180</v>
      </c>
      <c r="F9" s="3" t="s">
        <v>8182</v>
      </c>
      <c r="G9" s="3" t="s">
        <v>8184</v>
      </c>
      <c r="H9" s="3" t="s">
        <v>8186</v>
      </c>
      <c r="I9" s="3" t="s">
        <v>8187</v>
      </c>
      <c r="J9" s="3" t="s">
        <v>8188</v>
      </c>
      <c r="K9" s="3" t="s">
        <v>8191</v>
      </c>
      <c r="L9" s="3" t="s">
        <v>8193</v>
      </c>
      <c r="M9" s="3" t="s">
        <v>8194</v>
      </c>
      <c r="N9" s="3" t="s">
        <v>8204</v>
      </c>
      <c r="O9" s="3" t="s">
        <v>7991</v>
      </c>
      <c r="P9" s="3" t="s">
        <v>8206</v>
      </c>
      <c r="Q9" s="3" t="s">
        <v>8208</v>
      </c>
      <c r="R9" s="3" t="s">
        <v>8210</v>
      </c>
    </row>
    <row r="10" ht="56.25" customHeight="1">
      <c r="A10" s="3" t="s">
        <v>7504</v>
      </c>
      <c r="B10" s="3" t="s">
        <v>8213</v>
      </c>
      <c r="C10" s="3" t="s">
        <v>6295</v>
      </c>
      <c r="D10" s="3" t="s">
        <v>6710</v>
      </c>
      <c r="E10" s="3" t="s">
        <v>8216</v>
      </c>
      <c r="F10" s="3" t="s">
        <v>7508</v>
      </c>
      <c r="G10" s="3" t="s">
        <v>8218</v>
      </c>
      <c r="H10" s="3" t="s">
        <v>7510</v>
      </c>
      <c r="I10" s="3" t="s">
        <v>7513</v>
      </c>
      <c r="J10" s="3" t="s">
        <v>8221</v>
      </c>
      <c r="K10" s="3" t="s">
        <v>8223</v>
      </c>
      <c r="L10" s="3" t="s">
        <v>8224</v>
      </c>
      <c r="M10" s="3" t="s">
        <v>8225</v>
      </c>
      <c r="N10" s="3" t="s">
        <v>8204</v>
      </c>
      <c r="O10" s="3" t="s">
        <v>7991</v>
      </c>
      <c r="P10" s="3" t="s">
        <v>8206</v>
      </c>
      <c r="Q10" s="3" t="s">
        <v>8229</v>
      </c>
      <c r="R10" s="40" t="s">
        <v>1107</v>
      </c>
    </row>
    <row r="11" ht="56.25" customHeight="1">
      <c r="A11" s="3" t="s">
        <v>7555</v>
      </c>
      <c r="B11" s="3" t="s">
        <v>8266</v>
      </c>
      <c r="C11" s="3" t="s">
        <v>7563</v>
      </c>
      <c r="D11" s="3" t="s">
        <v>8268</v>
      </c>
      <c r="E11" s="3" t="s">
        <v>8270</v>
      </c>
      <c r="F11" s="3" t="s">
        <v>8273</v>
      </c>
      <c r="G11" s="3" t="s">
        <v>8274</v>
      </c>
      <c r="H11" s="3" t="s">
        <v>8275</v>
      </c>
      <c r="I11" s="3" t="s">
        <v>7560</v>
      </c>
      <c r="J11" s="3" t="s">
        <v>8277</v>
      </c>
      <c r="K11" s="3" t="s">
        <v>8278</v>
      </c>
      <c r="L11" s="3" t="s">
        <v>8279</v>
      </c>
      <c r="M11" s="3" t="s">
        <v>8280</v>
      </c>
      <c r="N11" s="3" t="s">
        <v>8204</v>
      </c>
      <c r="O11" s="3" t="s">
        <v>7991</v>
      </c>
      <c r="P11" s="3" t="s">
        <v>8206</v>
      </c>
      <c r="Q11" s="3" t="s">
        <v>8282</v>
      </c>
      <c r="R11" s="40" t="s">
        <v>7573</v>
      </c>
    </row>
    <row r="12" ht="56.25" customHeight="1">
      <c r="A12" s="3" t="s">
        <v>7608</v>
      </c>
      <c r="B12" s="3" t="s">
        <v>8266</v>
      </c>
      <c r="C12" s="3" t="s">
        <v>7563</v>
      </c>
      <c r="D12" s="3" t="s">
        <v>8304</v>
      </c>
      <c r="E12" s="3" t="s">
        <v>8306</v>
      </c>
      <c r="F12" s="3" t="s">
        <v>7609</v>
      </c>
      <c r="G12" s="3" t="s">
        <v>8308</v>
      </c>
      <c r="H12" s="3" t="s">
        <v>7610</v>
      </c>
      <c r="I12" s="3" t="s">
        <v>8309</v>
      </c>
      <c r="J12" s="3" t="s">
        <v>8310</v>
      </c>
      <c r="K12" s="3" t="s">
        <v>8311</v>
      </c>
      <c r="L12" s="3" t="s">
        <v>8279</v>
      </c>
      <c r="M12" s="3" t="s">
        <v>8312</v>
      </c>
      <c r="N12" s="3" t="s">
        <v>8204</v>
      </c>
      <c r="O12" s="3" t="s">
        <v>7991</v>
      </c>
      <c r="P12" s="3" t="s">
        <v>8206</v>
      </c>
      <c r="Q12" s="3" t="s">
        <v>8313</v>
      </c>
      <c r="R12" s="3" t="s">
        <v>8314</v>
      </c>
    </row>
    <row r="13" ht="56.25" customHeight="1">
      <c r="A13" s="3" t="s">
        <v>7765</v>
      </c>
      <c r="B13" s="3" t="s">
        <v>8315</v>
      </c>
      <c r="C13" s="3" t="s">
        <v>6329</v>
      </c>
      <c r="D13" s="3" t="s">
        <v>8316</v>
      </c>
      <c r="E13" s="3" t="s">
        <v>8317</v>
      </c>
      <c r="F13" s="3" t="s">
        <v>7772</v>
      </c>
      <c r="G13" s="3" t="s">
        <v>8318</v>
      </c>
      <c r="H13" s="3" t="s">
        <v>7773</v>
      </c>
      <c r="I13" s="3" t="s">
        <v>7683</v>
      </c>
      <c r="J13" s="3" t="s">
        <v>8319</v>
      </c>
      <c r="K13" s="3" t="s">
        <v>8320</v>
      </c>
      <c r="L13" s="3" t="s">
        <v>8279</v>
      </c>
      <c r="M13" s="3" t="s">
        <v>8321</v>
      </c>
      <c r="N13" s="3" t="s">
        <v>8204</v>
      </c>
      <c r="O13" s="3" t="s">
        <v>7991</v>
      </c>
      <c r="P13" s="3" t="s">
        <v>8206</v>
      </c>
      <c r="Q13" s="3" t="s">
        <v>8322</v>
      </c>
      <c r="R13" s="3" t="s">
        <v>8323</v>
      </c>
    </row>
    <row r="14" ht="56.25" customHeight="1">
      <c r="A14" s="3" t="s">
        <v>7825</v>
      </c>
      <c r="B14" s="3" t="s">
        <v>8315</v>
      </c>
      <c r="C14" s="3" t="s">
        <v>8324</v>
      </c>
      <c r="D14" s="3" t="s">
        <v>8325</v>
      </c>
      <c r="E14" s="3" t="s">
        <v>8326</v>
      </c>
      <c r="F14" s="3" t="s">
        <v>7830</v>
      </c>
      <c r="G14" s="3" t="s">
        <v>8327</v>
      </c>
      <c r="H14" s="3" t="s">
        <v>8328</v>
      </c>
      <c r="I14" s="3" t="s">
        <v>7683</v>
      </c>
      <c r="J14" s="3" t="s">
        <v>8330</v>
      </c>
      <c r="K14" s="3" t="s">
        <v>8331</v>
      </c>
      <c r="L14" s="3" t="s">
        <v>8332</v>
      </c>
      <c r="M14" s="3" t="s">
        <v>8333</v>
      </c>
      <c r="N14" s="3" t="s">
        <v>8204</v>
      </c>
      <c r="O14" s="3" t="s">
        <v>7991</v>
      </c>
      <c r="P14" s="3" t="s">
        <v>8206</v>
      </c>
      <c r="Q14" s="3" t="s">
        <v>8335</v>
      </c>
      <c r="R14" s="3" t="s">
        <v>7841</v>
      </c>
    </row>
    <row r="15" ht="56.25" customHeight="1">
      <c r="A15" s="3" t="s">
        <v>7842</v>
      </c>
      <c r="B15" s="3" t="s">
        <v>8266</v>
      </c>
      <c r="C15" s="3" t="s">
        <v>7085</v>
      </c>
      <c r="D15" s="3" t="s">
        <v>8336</v>
      </c>
      <c r="E15" s="3" t="s">
        <v>8337</v>
      </c>
      <c r="F15" s="3" t="s">
        <v>8338</v>
      </c>
      <c r="G15" s="3" t="s">
        <v>8339</v>
      </c>
      <c r="H15" s="3" t="s">
        <v>7846</v>
      </c>
      <c r="I15" s="3" t="s">
        <v>8340</v>
      </c>
      <c r="J15" s="3" t="s">
        <v>8341</v>
      </c>
      <c r="K15" s="3" t="s">
        <v>7083</v>
      </c>
      <c r="L15" s="3" t="s">
        <v>8279</v>
      </c>
      <c r="M15" s="3" t="s">
        <v>8345</v>
      </c>
      <c r="N15" s="3" t="s">
        <v>8204</v>
      </c>
      <c r="O15" s="3" t="s">
        <v>7991</v>
      </c>
      <c r="P15" s="3" t="s">
        <v>8206</v>
      </c>
      <c r="Q15" s="3" t="s">
        <v>7852</v>
      </c>
      <c r="R15" s="40" t="s">
        <v>7735</v>
      </c>
    </row>
    <row r="17">
      <c r="A17" s="61" t="s">
        <v>8354</v>
      </c>
    </row>
    <row r="18">
      <c r="A18" s="62" t="s">
        <v>8356</v>
      </c>
    </row>
    <row r="19">
      <c r="A19" s="62" t="s">
        <v>8358</v>
      </c>
    </row>
    <row r="20">
      <c r="A20" s="62" t="s">
        <v>8359</v>
      </c>
    </row>
  </sheetData>
  <autoFilter ref="$A$8:$R$15"/>
  <mergeCells count="10">
    <mergeCell ref="A18:R18"/>
    <mergeCell ref="A19:R19"/>
    <mergeCell ref="A20:R20"/>
    <mergeCell ref="A1:R1"/>
    <mergeCell ref="A2:R2"/>
    <mergeCell ref="A3:R3"/>
    <mergeCell ref="A4:R4"/>
    <mergeCell ref="A5:R5"/>
    <mergeCell ref="A7:R7"/>
    <mergeCell ref="A17:R17"/>
  </mergeCells>
  <conditionalFormatting sqref="N9:N15">
    <cfRule type="cellIs" dxfId="3" priority="1" stopIfTrue="1" operator="equal">
      <formula>"Validated"</formula>
    </cfRule>
  </conditionalFormatting>
  <conditionalFormatting sqref="N9:N15">
    <cfRule type="cellIs" dxfId="4" priority="2" stopIfTrue="1" operator="equal">
      <formula>"Ready to issue"</formula>
    </cfRule>
  </conditionalFormatting>
  <dataValidations>
    <dataValidation type="list" allowBlank="1" showErrorMessage="1" sqref="N9:N15">
      <formula1>"Ready to issue,Issued,Received,Validated,Blocked"</formula1>
    </dataValidation>
  </dataValidations>
  <hyperlinks>
    <hyperlink r:id="rId1" ref="R10"/>
    <hyperlink r:id="rId2" ref="R11"/>
    <hyperlink r:id="rId3" ref="R15"/>
  </hyperlinks>
  <drawing r:id="rId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27" width="17.0"/>
    <col customWidth="1" min="28" max="35" width="15.13"/>
    <col customWidth="1" min="36" max="40" width="23.88"/>
  </cols>
  <sheetData>
    <row r="1" ht="31.5" customHeight="1">
      <c r="A1" s="59" t="s">
        <v>8351</v>
      </c>
    </row>
    <row r="2" ht="31.5" customHeight="1">
      <c r="A2" s="60" t="s">
        <v>8352</v>
      </c>
    </row>
    <row r="3" ht="31.5" customHeight="1">
      <c r="A3" s="60" t="s">
        <v>8353</v>
      </c>
    </row>
    <row r="4" ht="31.5" customHeight="1">
      <c r="A4" s="60" t="s">
        <v>8355</v>
      </c>
    </row>
    <row r="5">
      <c r="A5" s="63" t="s">
        <v>8357</v>
      </c>
      <c r="B5" s="63">
        <f>COUNTA(A10:A500)</f>
        <v>0</v>
      </c>
      <c r="C5" s="63" t="s">
        <v>8360</v>
      </c>
      <c r="D5" s="63">
        <f>COUNTIF(AK10:AK500,"Complete")</f>
        <v>0</v>
      </c>
      <c r="E5" s="63" t="s">
        <v>8361</v>
      </c>
      <c r="F5" s="63">
        <f>COUNTIF(AK10:AK500,"Orphan")</f>
        <v>0</v>
      </c>
      <c r="G5" s="63" t="s">
        <v>8362</v>
      </c>
      <c r="H5" s="63">
        <f>COUNTIF(AL10:AL500,"Reconciled")</f>
        <v>0</v>
      </c>
      <c r="I5" s="63" t="s">
        <v>8363</v>
      </c>
      <c r="J5" s="65">
        <f>IFERROR(D5/B5,0)</f>
        <v>0</v>
      </c>
      <c r="K5" s="65" t="s">
        <v>8365</v>
      </c>
      <c r="L5" s="65">
        <f>IFERROR(H5/B5,0)</f>
        <v>0</v>
      </c>
      <c r="M5" s="63" t="s">
        <v>44</v>
      </c>
      <c r="N5" s="66">
        <f>TODAY()</f>
        <v>46280</v>
      </c>
    </row>
    <row r="7">
      <c r="A7" s="68" t="s">
        <v>8366</v>
      </c>
    </row>
    <row r="8">
      <c r="A8" s="68" t="s">
        <v>8367</v>
      </c>
    </row>
    <row r="9" ht="45.0" customHeight="1">
      <c r="A9" s="56" t="s">
        <v>5537</v>
      </c>
      <c r="B9" s="56" t="s">
        <v>383</v>
      </c>
      <c r="C9" s="56" t="s">
        <v>5989</v>
      </c>
      <c r="D9" s="56" t="s">
        <v>8368</v>
      </c>
      <c r="E9" s="56" t="s">
        <v>8369</v>
      </c>
      <c r="F9" s="56" t="s">
        <v>8370</v>
      </c>
      <c r="G9" s="56" t="s">
        <v>8371</v>
      </c>
      <c r="H9" s="56" t="s">
        <v>8372</v>
      </c>
      <c r="I9" s="56" t="s">
        <v>8373</v>
      </c>
      <c r="J9" s="56" t="s">
        <v>8374</v>
      </c>
      <c r="K9" s="56" t="s">
        <v>8375</v>
      </c>
      <c r="L9" s="56" t="s">
        <v>8376</v>
      </c>
      <c r="M9" s="56" t="s">
        <v>8377</v>
      </c>
      <c r="N9" s="56" t="s">
        <v>8378</v>
      </c>
      <c r="O9" s="56" t="s">
        <v>8379</v>
      </c>
      <c r="P9" s="56" t="s">
        <v>8380</v>
      </c>
      <c r="Q9" s="56" t="s">
        <v>8381</v>
      </c>
      <c r="R9" s="56" t="s">
        <v>8382</v>
      </c>
      <c r="S9" s="56" t="s">
        <v>8383</v>
      </c>
      <c r="T9" s="56" t="s">
        <v>8384</v>
      </c>
      <c r="U9" s="56" t="s">
        <v>8385</v>
      </c>
      <c r="V9" s="56" t="s">
        <v>8386</v>
      </c>
      <c r="W9" s="56" t="s">
        <v>8387</v>
      </c>
      <c r="X9" s="56" t="s">
        <v>8388</v>
      </c>
      <c r="Y9" s="56" t="s">
        <v>8389</v>
      </c>
      <c r="Z9" s="56" t="s">
        <v>6243</v>
      </c>
      <c r="AA9" s="56" t="s">
        <v>6261</v>
      </c>
      <c r="AB9" s="56" t="s">
        <v>8390</v>
      </c>
      <c r="AC9" s="56" t="s">
        <v>8391</v>
      </c>
      <c r="AD9" s="56" t="s">
        <v>8392</v>
      </c>
      <c r="AE9" s="56" t="s">
        <v>8393</v>
      </c>
      <c r="AF9" s="56" t="s">
        <v>6119</v>
      </c>
      <c r="AG9" s="56" t="s">
        <v>8394</v>
      </c>
      <c r="AH9" s="56" t="s">
        <v>8395</v>
      </c>
      <c r="AI9" s="56" t="s">
        <v>6151</v>
      </c>
      <c r="AJ9" s="56" t="s">
        <v>8396</v>
      </c>
      <c r="AK9" s="56" t="s">
        <v>8397</v>
      </c>
      <c r="AL9" s="56" t="s">
        <v>8398</v>
      </c>
      <c r="AM9" s="56" t="s">
        <v>8399</v>
      </c>
      <c r="AN9" s="56" t="s">
        <v>8400</v>
      </c>
    </row>
    <row r="10">
      <c r="A10" s="45"/>
      <c r="B10" s="45"/>
      <c r="C10" s="45"/>
      <c r="D10" s="45"/>
      <c r="E10" s="45"/>
      <c r="F10" s="45"/>
      <c r="G10" s="69"/>
      <c r="H10" s="45"/>
      <c r="I10" s="45"/>
      <c r="J10" s="69"/>
      <c r="K10" s="45"/>
      <c r="L10" s="45"/>
      <c r="M10" s="45"/>
      <c r="N10" s="69"/>
      <c r="O10" s="45"/>
      <c r="P10" s="45"/>
      <c r="Q10" s="69"/>
      <c r="R10" s="45"/>
      <c r="S10" s="45"/>
      <c r="T10" s="69"/>
      <c r="U10" s="45"/>
      <c r="V10" s="45"/>
      <c r="W10" s="45"/>
      <c r="X10" s="45"/>
      <c r="Y10" s="69"/>
      <c r="Z10" s="45"/>
      <c r="AA10" s="45"/>
      <c r="AB10" s="70"/>
      <c r="AC10" s="70"/>
      <c r="AD10" s="70"/>
      <c r="AE10" s="70"/>
      <c r="AF10" s="45"/>
      <c r="AG10" s="71"/>
      <c r="AH10" s="71"/>
      <c r="AI10" s="45"/>
      <c r="AJ10" s="45"/>
      <c r="AK10" s="45"/>
      <c r="AL10" s="45"/>
      <c r="AM10" s="45"/>
      <c r="AN10" s="45"/>
    </row>
    <row r="11">
      <c r="A11" s="45"/>
      <c r="B11" s="45"/>
      <c r="C11" s="45"/>
      <c r="D11" s="45"/>
      <c r="E11" s="45"/>
      <c r="F11" s="45"/>
      <c r="G11" s="69"/>
      <c r="H11" s="45"/>
      <c r="I11" s="45"/>
      <c r="J11" s="69"/>
      <c r="K11" s="45"/>
      <c r="L11" s="45"/>
      <c r="M11" s="45"/>
      <c r="N11" s="69"/>
      <c r="O11" s="45"/>
      <c r="P11" s="45"/>
      <c r="Q11" s="69"/>
      <c r="R11" s="45"/>
      <c r="S11" s="45"/>
      <c r="T11" s="69"/>
      <c r="U11" s="45"/>
      <c r="V11" s="45"/>
      <c r="W11" s="45"/>
      <c r="X11" s="45"/>
      <c r="Y11" s="69"/>
      <c r="Z11" s="45"/>
      <c r="AA11" s="45"/>
      <c r="AB11" s="70"/>
      <c r="AC11" s="70"/>
      <c r="AD11" s="70"/>
      <c r="AE11" s="70"/>
      <c r="AF11" s="45"/>
      <c r="AG11" s="71"/>
      <c r="AH11" s="71"/>
      <c r="AI11" s="45"/>
      <c r="AJ11" s="45"/>
      <c r="AK11" s="45"/>
      <c r="AL11" s="45"/>
      <c r="AM11" s="45"/>
      <c r="AN11" s="45"/>
    </row>
    <row r="12">
      <c r="A12" s="45"/>
      <c r="B12" s="45"/>
      <c r="C12" s="45"/>
      <c r="D12" s="45"/>
      <c r="E12" s="45"/>
      <c r="F12" s="45"/>
      <c r="G12" s="69"/>
      <c r="H12" s="45"/>
      <c r="I12" s="45"/>
      <c r="J12" s="69"/>
      <c r="K12" s="45"/>
      <c r="L12" s="45"/>
      <c r="M12" s="45"/>
      <c r="N12" s="69"/>
      <c r="O12" s="45"/>
      <c r="P12" s="45"/>
      <c r="Q12" s="69"/>
      <c r="R12" s="45"/>
      <c r="S12" s="45"/>
      <c r="T12" s="69"/>
      <c r="U12" s="45"/>
      <c r="V12" s="45"/>
      <c r="W12" s="45"/>
      <c r="X12" s="45"/>
      <c r="Y12" s="69"/>
      <c r="Z12" s="45"/>
      <c r="AA12" s="45"/>
      <c r="AB12" s="70"/>
      <c r="AC12" s="70"/>
      <c r="AD12" s="70"/>
      <c r="AE12" s="70"/>
      <c r="AF12" s="45"/>
      <c r="AG12" s="71"/>
      <c r="AH12" s="71"/>
      <c r="AI12" s="45"/>
      <c r="AJ12" s="45"/>
      <c r="AK12" s="45"/>
      <c r="AL12" s="45"/>
      <c r="AM12" s="45"/>
      <c r="AN12" s="45"/>
    </row>
    <row r="13">
      <c r="A13" s="45"/>
      <c r="B13" s="45"/>
      <c r="C13" s="45"/>
      <c r="D13" s="45"/>
      <c r="E13" s="45"/>
      <c r="F13" s="45"/>
      <c r="G13" s="69"/>
      <c r="H13" s="45"/>
      <c r="I13" s="45"/>
      <c r="J13" s="69"/>
      <c r="K13" s="45"/>
      <c r="L13" s="45"/>
      <c r="M13" s="45"/>
      <c r="N13" s="69"/>
      <c r="O13" s="45"/>
      <c r="P13" s="45"/>
      <c r="Q13" s="69"/>
      <c r="R13" s="45"/>
      <c r="S13" s="45"/>
      <c r="T13" s="69"/>
      <c r="U13" s="45"/>
      <c r="V13" s="45"/>
      <c r="W13" s="45"/>
      <c r="X13" s="45"/>
      <c r="Y13" s="69"/>
      <c r="Z13" s="45"/>
      <c r="AA13" s="45"/>
      <c r="AB13" s="70"/>
      <c r="AC13" s="70"/>
      <c r="AD13" s="70"/>
      <c r="AE13" s="70"/>
      <c r="AF13" s="45"/>
      <c r="AG13" s="71"/>
      <c r="AH13" s="71"/>
      <c r="AI13" s="45"/>
      <c r="AJ13" s="45"/>
      <c r="AK13" s="45"/>
      <c r="AL13" s="45"/>
      <c r="AM13" s="45"/>
      <c r="AN13" s="45"/>
    </row>
    <row r="14">
      <c r="A14" s="45"/>
      <c r="B14" s="45"/>
      <c r="C14" s="45"/>
      <c r="D14" s="45"/>
      <c r="E14" s="45"/>
      <c r="F14" s="45"/>
      <c r="G14" s="69"/>
      <c r="H14" s="45"/>
      <c r="I14" s="45"/>
      <c r="J14" s="69"/>
      <c r="K14" s="45"/>
      <c r="L14" s="45"/>
      <c r="M14" s="45"/>
      <c r="N14" s="69"/>
      <c r="O14" s="45"/>
      <c r="P14" s="45"/>
      <c r="Q14" s="69"/>
      <c r="R14" s="45"/>
      <c r="S14" s="45"/>
      <c r="T14" s="69"/>
      <c r="U14" s="45"/>
      <c r="V14" s="45"/>
      <c r="W14" s="45"/>
      <c r="X14" s="45"/>
      <c r="Y14" s="69"/>
      <c r="Z14" s="45"/>
      <c r="AA14" s="45"/>
      <c r="AB14" s="70"/>
      <c r="AC14" s="70"/>
      <c r="AD14" s="70"/>
      <c r="AE14" s="70"/>
      <c r="AF14" s="45"/>
      <c r="AG14" s="71"/>
      <c r="AH14" s="71"/>
      <c r="AI14" s="45"/>
      <c r="AJ14" s="45"/>
      <c r="AK14" s="45"/>
      <c r="AL14" s="45"/>
      <c r="AM14" s="45"/>
      <c r="AN14" s="45"/>
    </row>
    <row r="15">
      <c r="A15" s="45"/>
      <c r="B15" s="45"/>
      <c r="C15" s="45"/>
      <c r="D15" s="45"/>
      <c r="E15" s="45"/>
      <c r="F15" s="45"/>
      <c r="G15" s="69"/>
      <c r="H15" s="45"/>
      <c r="I15" s="45"/>
      <c r="J15" s="69"/>
      <c r="K15" s="45"/>
      <c r="L15" s="45"/>
      <c r="M15" s="45"/>
      <c r="N15" s="69"/>
      <c r="O15" s="45"/>
      <c r="P15" s="45"/>
      <c r="Q15" s="69"/>
      <c r="R15" s="45"/>
      <c r="S15" s="45"/>
      <c r="T15" s="69"/>
      <c r="U15" s="45"/>
      <c r="V15" s="45"/>
      <c r="W15" s="45"/>
      <c r="X15" s="45"/>
      <c r="Y15" s="69"/>
      <c r="Z15" s="45"/>
      <c r="AA15" s="45"/>
      <c r="AB15" s="70"/>
      <c r="AC15" s="70"/>
      <c r="AD15" s="70"/>
      <c r="AE15" s="70"/>
      <c r="AF15" s="45"/>
      <c r="AG15" s="71"/>
      <c r="AH15" s="71"/>
      <c r="AI15" s="45"/>
      <c r="AJ15" s="45"/>
      <c r="AK15" s="45"/>
      <c r="AL15" s="45"/>
      <c r="AM15" s="45"/>
      <c r="AN15" s="45"/>
    </row>
    <row r="16">
      <c r="A16" s="45"/>
      <c r="B16" s="45"/>
      <c r="C16" s="45"/>
      <c r="D16" s="45"/>
      <c r="E16" s="45"/>
      <c r="F16" s="45"/>
      <c r="G16" s="69"/>
      <c r="H16" s="45"/>
      <c r="I16" s="45"/>
      <c r="J16" s="69"/>
      <c r="K16" s="45"/>
      <c r="L16" s="45"/>
      <c r="M16" s="45"/>
      <c r="N16" s="69"/>
      <c r="O16" s="45"/>
      <c r="P16" s="45"/>
      <c r="Q16" s="69"/>
      <c r="R16" s="45"/>
      <c r="S16" s="45"/>
      <c r="T16" s="69"/>
      <c r="U16" s="45"/>
      <c r="V16" s="45"/>
      <c r="W16" s="45"/>
      <c r="X16" s="45"/>
      <c r="Y16" s="69"/>
      <c r="Z16" s="45"/>
      <c r="AA16" s="45"/>
      <c r="AB16" s="70"/>
      <c r="AC16" s="70"/>
      <c r="AD16" s="70"/>
      <c r="AE16" s="70"/>
      <c r="AF16" s="45"/>
      <c r="AG16" s="71"/>
      <c r="AH16" s="71"/>
      <c r="AI16" s="45"/>
      <c r="AJ16" s="45"/>
      <c r="AK16" s="45"/>
      <c r="AL16" s="45"/>
      <c r="AM16" s="45"/>
      <c r="AN16" s="45"/>
    </row>
    <row r="17">
      <c r="A17" s="45"/>
      <c r="B17" s="45"/>
      <c r="C17" s="45"/>
      <c r="D17" s="45"/>
      <c r="E17" s="45"/>
      <c r="F17" s="45"/>
      <c r="G17" s="69"/>
      <c r="H17" s="45"/>
      <c r="I17" s="45"/>
      <c r="J17" s="69"/>
      <c r="K17" s="45"/>
      <c r="L17" s="45"/>
      <c r="M17" s="45"/>
      <c r="N17" s="69"/>
      <c r="O17" s="45"/>
      <c r="P17" s="45"/>
      <c r="Q17" s="69"/>
      <c r="R17" s="45"/>
      <c r="S17" s="45"/>
      <c r="T17" s="69"/>
      <c r="U17" s="45"/>
      <c r="V17" s="45"/>
      <c r="W17" s="45"/>
      <c r="X17" s="45"/>
      <c r="Y17" s="69"/>
      <c r="Z17" s="45"/>
      <c r="AA17" s="45"/>
      <c r="AB17" s="70"/>
      <c r="AC17" s="70"/>
      <c r="AD17" s="70"/>
      <c r="AE17" s="70"/>
      <c r="AF17" s="45"/>
      <c r="AG17" s="71"/>
      <c r="AH17" s="71"/>
      <c r="AI17" s="45"/>
      <c r="AJ17" s="45"/>
      <c r="AK17" s="45"/>
      <c r="AL17" s="45"/>
      <c r="AM17" s="45"/>
      <c r="AN17" s="45"/>
    </row>
    <row r="18">
      <c r="A18" s="45"/>
      <c r="B18" s="45"/>
      <c r="C18" s="45"/>
      <c r="D18" s="45"/>
      <c r="E18" s="45"/>
      <c r="F18" s="45"/>
      <c r="G18" s="69"/>
      <c r="H18" s="45"/>
      <c r="I18" s="45"/>
      <c r="J18" s="69"/>
      <c r="K18" s="45"/>
      <c r="L18" s="45"/>
      <c r="M18" s="45"/>
      <c r="N18" s="69"/>
      <c r="O18" s="45"/>
      <c r="P18" s="45"/>
      <c r="Q18" s="69"/>
      <c r="R18" s="45"/>
      <c r="S18" s="45"/>
      <c r="T18" s="69"/>
      <c r="U18" s="45"/>
      <c r="V18" s="45"/>
      <c r="W18" s="45"/>
      <c r="X18" s="45"/>
      <c r="Y18" s="69"/>
      <c r="Z18" s="45"/>
      <c r="AA18" s="45"/>
      <c r="AB18" s="70"/>
      <c r="AC18" s="70"/>
      <c r="AD18" s="70"/>
      <c r="AE18" s="70"/>
      <c r="AF18" s="45"/>
      <c r="AG18" s="71"/>
      <c r="AH18" s="71"/>
      <c r="AI18" s="45"/>
      <c r="AJ18" s="45"/>
      <c r="AK18" s="45"/>
      <c r="AL18" s="45"/>
      <c r="AM18" s="45"/>
      <c r="AN18" s="45"/>
    </row>
    <row r="19">
      <c r="A19" s="45"/>
      <c r="B19" s="45"/>
      <c r="C19" s="45"/>
      <c r="D19" s="45"/>
      <c r="E19" s="45"/>
      <c r="F19" s="45"/>
      <c r="G19" s="69"/>
      <c r="H19" s="45"/>
      <c r="I19" s="45"/>
      <c r="J19" s="69"/>
      <c r="K19" s="45"/>
      <c r="L19" s="45"/>
      <c r="M19" s="45"/>
      <c r="N19" s="69"/>
      <c r="O19" s="45"/>
      <c r="P19" s="45"/>
      <c r="Q19" s="69"/>
      <c r="R19" s="45"/>
      <c r="S19" s="45"/>
      <c r="T19" s="69"/>
      <c r="U19" s="45"/>
      <c r="V19" s="45"/>
      <c r="W19" s="45"/>
      <c r="X19" s="45"/>
      <c r="Y19" s="69"/>
      <c r="Z19" s="45"/>
      <c r="AA19" s="45"/>
      <c r="AB19" s="70"/>
      <c r="AC19" s="70"/>
      <c r="AD19" s="70"/>
      <c r="AE19" s="70"/>
      <c r="AF19" s="45"/>
      <c r="AG19" s="71"/>
      <c r="AH19" s="71"/>
      <c r="AI19" s="45"/>
      <c r="AJ19" s="45"/>
      <c r="AK19" s="45"/>
      <c r="AL19" s="45"/>
      <c r="AM19" s="45"/>
      <c r="AN19" s="45"/>
    </row>
    <row r="20">
      <c r="A20" s="45"/>
      <c r="B20" s="45"/>
      <c r="C20" s="45"/>
      <c r="D20" s="45"/>
      <c r="E20" s="45"/>
      <c r="F20" s="45"/>
      <c r="G20" s="69"/>
      <c r="H20" s="45"/>
      <c r="I20" s="45"/>
      <c r="J20" s="69"/>
      <c r="K20" s="45"/>
      <c r="L20" s="45"/>
      <c r="M20" s="45"/>
      <c r="N20" s="69"/>
      <c r="O20" s="45"/>
      <c r="P20" s="45"/>
      <c r="Q20" s="69"/>
      <c r="R20" s="45"/>
      <c r="S20" s="45"/>
      <c r="T20" s="69"/>
      <c r="U20" s="45"/>
      <c r="V20" s="45"/>
      <c r="W20" s="45"/>
      <c r="X20" s="45"/>
      <c r="Y20" s="69"/>
      <c r="Z20" s="45"/>
      <c r="AA20" s="45"/>
      <c r="AB20" s="70"/>
      <c r="AC20" s="70"/>
      <c r="AD20" s="70"/>
      <c r="AE20" s="70"/>
      <c r="AF20" s="45"/>
      <c r="AG20" s="71"/>
      <c r="AH20" s="71"/>
      <c r="AI20" s="45"/>
      <c r="AJ20" s="45"/>
      <c r="AK20" s="45"/>
      <c r="AL20" s="45"/>
      <c r="AM20" s="45"/>
      <c r="AN20" s="45"/>
    </row>
    <row r="21">
      <c r="A21" s="45"/>
      <c r="B21" s="45"/>
      <c r="C21" s="45"/>
      <c r="D21" s="45"/>
      <c r="E21" s="45"/>
      <c r="F21" s="45"/>
      <c r="G21" s="69"/>
      <c r="H21" s="45"/>
      <c r="I21" s="45"/>
      <c r="J21" s="69"/>
      <c r="K21" s="45"/>
      <c r="L21" s="45"/>
      <c r="M21" s="45"/>
      <c r="N21" s="69"/>
      <c r="O21" s="45"/>
      <c r="P21" s="45"/>
      <c r="Q21" s="69"/>
      <c r="R21" s="45"/>
      <c r="S21" s="45"/>
      <c r="T21" s="69"/>
      <c r="U21" s="45"/>
      <c r="V21" s="45"/>
      <c r="W21" s="45"/>
      <c r="X21" s="45"/>
      <c r="Y21" s="69"/>
      <c r="Z21" s="45"/>
      <c r="AA21" s="45"/>
      <c r="AB21" s="70"/>
      <c r="AC21" s="70"/>
      <c r="AD21" s="70"/>
      <c r="AE21" s="70"/>
      <c r="AF21" s="45"/>
      <c r="AG21" s="71"/>
      <c r="AH21" s="71"/>
      <c r="AI21" s="45"/>
      <c r="AJ21" s="45"/>
      <c r="AK21" s="45"/>
      <c r="AL21" s="45"/>
      <c r="AM21" s="45"/>
      <c r="AN21" s="45"/>
    </row>
    <row r="22">
      <c r="A22" s="45"/>
      <c r="B22" s="45"/>
      <c r="C22" s="45"/>
      <c r="D22" s="45"/>
      <c r="E22" s="45"/>
      <c r="F22" s="45"/>
      <c r="G22" s="69"/>
      <c r="H22" s="45"/>
      <c r="I22" s="45"/>
      <c r="J22" s="69"/>
      <c r="K22" s="45"/>
      <c r="L22" s="45"/>
      <c r="M22" s="45"/>
      <c r="N22" s="69"/>
      <c r="O22" s="45"/>
      <c r="P22" s="45"/>
      <c r="Q22" s="69"/>
      <c r="R22" s="45"/>
      <c r="S22" s="45"/>
      <c r="T22" s="69"/>
      <c r="U22" s="45"/>
      <c r="V22" s="45"/>
      <c r="W22" s="45"/>
      <c r="X22" s="45"/>
      <c r="Y22" s="69"/>
      <c r="Z22" s="45"/>
      <c r="AA22" s="45"/>
      <c r="AB22" s="70"/>
      <c r="AC22" s="70"/>
      <c r="AD22" s="70"/>
      <c r="AE22" s="70"/>
      <c r="AF22" s="45"/>
      <c r="AG22" s="71"/>
      <c r="AH22" s="71"/>
      <c r="AI22" s="45"/>
      <c r="AJ22" s="45"/>
      <c r="AK22" s="45"/>
      <c r="AL22" s="45"/>
      <c r="AM22" s="45"/>
      <c r="AN22" s="45"/>
    </row>
    <row r="23">
      <c r="A23" s="45"/>
      <c r="B23" s="45"/>
      <c r="C23" s="45"/>
      <c r="D23" s="45"/>
      <c r="E23" s="45"/>
      <c r="F23" s="45"/>
      <c r="G23" s="69"/>
      <c r="H23" s="45"/>
      <c r="I23" s="45"/>
      <c r="J23" s="69"/>
      <c r="K23" s="45"/>
      <c r="L23" s="45"/>
      <c r="M23" s="45"/>
      <c r="N23" s="69"/>
      <c r="O23" s="45"/>
      <c r="P23" s="45"/>
      <c r="Q23" s="69"/>
      <c r="R23" s="45"/>
      <c r="S23" s="45"/>
      <c r="T23" s="69"/>
      <c r="U23" s="45"/>
      <c r="V23" s="45"/>
      <c r="W23" s="45"/>
      <c r="X23" s="45"/>
      <c r="Y23" s="69"/>
      <c r="Z23" s="45"/>
      <c r="AA23" s="45"/>
      <c r="AB23" s="70"/>
      <c r="AC23" s="70"/>
      <c r="AD23" s="70"/>
      <c r="AE23" s="70"/>
      <c r="AF23" s="45"/>
      <c r="AG23" s="71"/>
      <c r="AH23" s="71"/>
      <c r="AI23" s="45"/>
      <c r="AJ23" s="45"/>
      <c r="AK23" s="45"/>
      <c r="AL23" s="45"/>
      <c r="AM23" s="45"/>
      <c r="AN23" s="45"/>
    </row>
    <row r="24">
      <c r="A24" s="45"/>
      <c r="B24" s="45"/>
      <c r="C24" s="45"/>
      <c r="D24" s="45"/>
      <c r="E24" s="45"/>
      <c r="F24" s="45"/>
      <c r="G24" s="69"/>
      <c r="H24" s="45"/>
      <c r="I24" s="45"/>
      <c r="J24" s="69"/>
      <c r="K24" s="45"/>
      <c r="L24" s="45"/>
      <c r="M24" s="45"/>
      <c r="N24" s="69"/>
      <c r="O24" s="45"/>
      <c r="P24" s="45"/>
      <c r="Q24" s="69"/>
      <c r="R24" s="45"/>
      <c r="S24" s="45"/>
      <c r="T24" s="69"/>
      <c r="U24" s="45"/>
      <c r="V24" s="45"/>
      <c r="W24" s="45"/>
      <c r="X24" s="45"/>
      <c r="Y24" s="69"/>
      <c r="Z24" s="45"/>
      <c r="AA24" s="45"/>
      <c r="AB24" s="70"/>
      <c r="AC24" s="70"/>
      <c r="AD24" s="70"/>
      <c r="AE24" s="70"/>
      <c r="AF24" s="45"/>
      <c r="AG24" s="71"/>
      <c r="AH24" s="71"/>
      <c r="AI24" s="45"/>
      <c r="AJ24" s="45"/>
      <c r="AK24" s="45"/>
      <c r="AL24" s="45"/>
      <c r="AM24" s="45"/>
      <c r="AN24" s="45"/>
    </row>
    <row r="25">
      <c r="A25" s="45"/>
      <c r="B25" s="45"/>
      <c r="C25" s="45"/>
      <c r="D25" s="45"/>
      <c r="E25" s="45"/>
      <c r="F25" s="45"/>
      <c r="G25" s="69"/>
      <c r="H25" s="45"/>
      <c r="I25" s="45"/>
      <c r="J25" s="69"/>
      <c r="K25" s="45"/>
      <c r="L25" s="45"/>
      <c r="M25" s="45"/>
      <c r="N25" s="69"/>
      <c r="O25" s="45"/>
      <c r="P25" s="45"/>
      <c r="Q25" s="69"/>
      <c r="R25" s="45"/>
      <c r="S25" s="45"/>
      <c r="T25" s="69"/>
      <c r="U25" s="45"/>
      <c r="V25" s="45"/>
      <c r="W25" s="45"/>
      <c r="X25" s="45"/>
      <c r="Y25" s="69"/>
      <c r="Z25" s="45"/>
      <c r="AA25" s="45"/>
      <c r="AB25" s="70"/>
      <c r="AC25" s="70"/>
      <c r="AD25" s="70"/>
      <c r="AE25" s="70"/>
      <c r="AF25" s="45"/>
      <c r="AG25" s="71"/>
      <c r="AH25" s="71"/>
      <c r="AI25" s="45"/>
      <c r="AJ25" s="45"/>
      <c r="AK25" s="45"/>
      <c r="AL25" s="45"/>
      <c r="AM25" s="45"/>
      <c r="AN25" s="45"/>
    </row>
    <row r="26">
      <c r="A26" s="45"/>
      <c r="B26" s="45"/>
      <c r="C26" s="45"/>
      <c r="D26" s="45"/>
      <c r="E26" s="45"/>
      <c r="F26" s="45"/>
      <c r="G26" s="69"/>
      <c r="H26" s="45"/>
      <c r="I26" s="45"/>
      <c r="J26" s="69"/>
      <c r="K26" s="45"/>
      <c r="L26" s="45"/>
      <c r="M26" s="45"/>
      <c r="N26" s="69"/>
      <c r="O26" s="45"/>
      <c r="P26" s="45"/>
      <c r="Q26" s="69"/>
      <c r="R26" s="45"/>
      <c r="S26" s="45"/>
      <c r="T26" s="69"/>
      <c r="U26" s="45"/>
      <c r="V26" s="45"/>
      <c r="W26" s="45"/>
      <c r="X26" s="45"/>
      <c r="Y26" s="69"/>
      <c r="Z26" s="45"/>
      <c r="AA26" s="45"/>
      <c r="AB26" s="70"/>
      <c r="AC26" s="70"/>
      <c r="AD26" s="70"/>
      <c r="AE26" s="70"/>
      <c r="AF26" s="45"/>
      <c r="AG26" s="71"/>
      <c r="AH26" s="71"/>
      <c r="AI26" s="45"/>
      <c r="AJ26" s="45"/>
      <c r="AK26" s="45"/>
      <c r="AL26" s="45"/>
      <c r="AM26" s="45"/>
      <c r="AN26" s="45"/>
    </row>
    <row r="27">
      <c r="A27" s="45"/>
      <c r="B27" s="45"/>
      <c r="C27" s="45"/>
      <c r="D27" s="45"/>
      <c r="E27" s="45"/>
      <c r="F27" s="45"/>
      <c r="G27" s="69"/>
      <c r="H27" s="45"/>
      <c r="I27" s="45"/>
      <c r="J27" s="69"/>
      <c r="K27" s="45"/>
      <c r="L27" s="45"/>
      <c r="M27" s="45"/>
      <c r="N27" s="69"/>
      <c r="O27" s="45"/>
      <c r="P27" s="45"/>
      <c r="Q27" s="69"/>
      <c r="R27" s="45"/>
      <c r="S27" s="45"/>
      <c r="T27" s="69"/>
      <c r="U27" s="45"/>
      <c r="V27" s="45"/>
      <c r="W27" s="45"/>
      <c r="X27" s="45"/>
      <c r="Y27" s="69"/>
      <c r="Z27" s="45"/>
      <c r="AA27" s="45"/>
      <c r="AB27" s="70"/>
      <c r="AC27" s="70"/>
      <c r="AD27" s="70"/>
      <c r="AE27" s="70"/>
      <c r="AF27" s="45"/>
      <c r="AG27" s="71"/>
      <c r="AH27" s="71"/>
      <c r="AI27" s="45"/>
      <c r="AJ27" s="45"/>
      <c r="AK27" s="45"/>
      <c r="AL27" s="45"/>
      <c r="AM27" s="45"/>
      <c r="AN27" s="45"/>
    </row>
    <row r="28">
      <c r="A28" s="45"/>
      <c r="B28" s="45"/>
      <c r="C28" s="45"/>
      <c r="D28" s="45"/>
      <c r="E28" s="45"/>
      <c r="F28" s="45"/>
      <c r="G28" s="69"/>
      <c r="H28" s="45"/>
      <c r="I28" s="45"/>
      <c r="J28" s="69"/>
      <c r="K28" s="45"/>
      <c r="L28" s="45"/>
      <c r="M28" s="45"/>
      <c r="N28" s="69"/>
      <c r="O28" s="45"/>
      <c r="P28" s="45"/>
      <c r="Q28" s="69"/>
      <c r="R28" s="45"/>
      <c r="S28" s="45"/>
      <c r="T28" s="69"/>
      <c r="U28" s="45"/>
      <c r="V28" s="45"/>
      <c r="W28" s="45"/>
      <c r="X28" s="45"/>
      <c r="Y28" s="69"/>
      <c r="Z28" s="45"/>
      <c r="AA28" s="45"/>
      <c r="AB28" s="70"/>
      <c r="AC28" s="70"/>
      <c r="AD28" s="70"/>
      <c r="AE28" s="70"/>
      <c r="AF28" s="45"/>
      <c r="AG28" s="71"/>
      <c r="AH28" s="71"/>
      <c r="AI28" s="45"/>
      <c r="AJ28" s="45"/>
      <c r="AK28" s="45"/>
      <c r="AL28" s="45"/>
      <c r="AM28" s="45"/>
      <c r="AN28" s="45"/>
    </row>
    <row r="29">
      <c r="A29" s="45"/>
      <c r="B29" s="45"/>
      <c r="C29" s="45"/>
      <c r="D29" s="45"/>
      <c r="E29" s="45"/>
      <c r="F29" s="45"/>
      <c r="G29" s="69"/>
      <c r="H29" s="45"/>
      <c r="I29" s="45"/>
      <c r="J29" s="69"/>
      <c r="K29" s="45"/>
      <c r="L29" s="45"/>
      <c r="M29" s="45"/>
      <c r="N29" s="69"/>
      <c r="O29" s="45"/>
      <c r="P29" s="45"/>
      <c r="Q29" s="69"/>
      <c r="R29" s="45"/>
      <c r="S29" s="45"/>
      <c r="T29" s="69"/>
      <c r="U29" s="45"/>
      <c r="V29" s="45"/>
      <c r="W29" s="45"/>
      <c r="X29" s="45"/>
      <c r="Y29" s="69"/>
      <c r="Z29" s="45"/>
      <c r="AA29" s="45"/>
      <c r="AB29" s="70"/>
      <c r="AC29" s="70"/>
      <c r="AD29" s="70"/>
      <c r="AE29" s="70"/>
      <c r="AF29" s="45"/>
      <c r="AG29" s="71"/>
      <c r="AH29" s="71"/>
      <c r="AI29" s="45"/>
      <c r="AJ29" s="45"/>
      <c r="AK29" s="45"/>
      <c r="AL29" s="45"/>
      <c r="AM29" s="45"/>
      <c r="AN29" s="45"/>
    </row>
    <row r="30">
      <c r="A30" s="45"/>
      <c r="B30" s="45"/>
      <c r="C30" s="45"/>
      <c r="D30" s="45"/>
      <c r="E30" s="45"/>
      <c r="F30" s="45"/>
      <c r="G30" s="69"/>
      <c r="H30" s="45"/>
      <c r="I30" s="45"/>
      <c r="J30" s="69"/>
      <c r="K30" s="45"/>
      <c r="L30" s="45"/>
      <c r="M30" s="45"/>
      <c r="N30" s="69"/>
      <c r="O30" s="45"/>
      <c r="P30" s="45"/>
      <c r="Q30" s="69"/>
      <c r="R30" s="45"/>
      <c r="S30" s="45"/>
      <c r="T30" s="69"/>
      <c r="U30" s="45"/>
      <c r="V30" s="45"/>
      <c r="W30" s="45"/>
      <c r="X30" s="45"/>
      <c r="Y30" s="69"/>
      <c r="Z30" s="45"/>
      <c r="AA30" s="45"/>
      <c r="AB30" s="70"/>
      <c r="AC30" s="70"/>
      <c r="AD30" s="70"/>
      <c r="AE30" s="70"/>
      <c r="AF30" s="45"/>
      <c r="AG30" s="71"/>
      <c r="AH30" s="71"/>
      <c r="AI30" s="45"/>
      <c r="AJ30" s="45"/>
      <c r="AK30" s="45"/>
      <c r="AL30" s="45"/>
      <c r="AM30" s="45"/>
      <c r="AN30" s="45"/>
    </row>
    <row r="31">
      <c r="A31" s="45"/>
      <c r="B31" s="45"/>
      <c r="C31" s="45"/>
      <c r="D31" s="45"/>
      <c r="E31" s="45"/>
      <c r="F31" s="45"/>
      <c r="G31" s="69"/>
      <c r="H31" s="45"/>
      <c r="I31" s="45"/>
      <c r="J31" s="69"/>
      <c r="K31" s="45"/>
      <c r="L31" s="45"/>
      <c r="M31" s="45"/>
      <c r="N31" s="69"/>
      <c r="O31" s="45"/>
      <c r="P31" s="45"/>
      <c r="Q31" s="69"/>
      <c r="R31" s="45"/>
      <c r="S31" s="45"/>
      <c r="T31" s="69"/>
      <c r="U31" s="45"/>
      <c r="V31" s="45"/>
      <c r="W31" s="45"/>
      <c r="X31" s="45"/>
      <c r="Y31" s="69"/>
      <c r="Z31" s="45"/>
      <c r="AA31" s="45"/>
      <c r="AB31" s="70"/>
      <c r="AC31" s="70"/>
      <c r="AD31" s="70"/>
      <c r="AE31" s="70"/>
      <c r="AF31" s="45"/>
      <c r="AG31" s="71"/>
      <c r="AH31" s="71"/>
      <c r="AI31" s="45"/>
      <c r="AJ31" s="45"/>
      <c r="AK31" s="45"/>
      <c r="AL31" s="45"/>
      <c r="AM31" s="45"/>
      <c r="AN31" s="45"/>
    </row>
    <row r="32">
      <c r="A32" s="45"/>
      <c r="B32" s="45"/>
      <c r="C32" s="45"/>
      <c r="D32" s="45"/>
      <c r="E32" s="45"/>
      <c r="F32" s="45"/>
      <c r="G32" s="69"/>
      <c r="H32" s="45"/>
      <c r="I32" s="45"/>
      <c r="J32" s="69"/>
      <c r="K32" s="45"/>
      <c r="L32" s="45"/>
      <c r="M32" s="45"/>
      <c r="N32" s="69"/>
      <c r="O32" s="45"/>
      <c r="P32" s="45"/>
      <c r="Q32" s="69"/>
      <c r="R32" s="45"/>
      <c r="S32" s="45"/>
      <c r="T32" s="69"/>
      <c r="U32" s="45"/>
      <c r="V32" s="45"/>
      <c r="W32" s="45"/>
      <c r="X32" s="45"/>
      <c r="Y32" s="69"/>
      <c r="Z32" s="45"/>
      <c r="AA32" s="45"/>
      <c r="AB32" s="70"/>
      <c r="AC32" s="70"/>
      <c r="AD32" s="70"/>
      <c r="AE32" s="70"/>
      <c r="AF32" s="45"/>
      <c r="AG32" s="71"/>
      <c r="AH32" s="71"/>
      <c r="AI32" s="45"/>
      <c r="AJ32" s="45"/>
      <c r="AK32" s="45"/>
      <c r="AL32" s="45"/>
      <c r="AM32" s="45"/>
      <c r="AN32" s="45"/>
    </row>
    <row r="33">
      <c r="A33" s="45"/>
      <c r="B33" s="45"/>
      <c r="C33" s="45"/>
      <c r="D33" s="45"/>
      <c r="E33" s="45"/>
      <c r="F33" s="45"/>
      <c r="G33" s="69"/>
      <c r="H33" s="45"/>
      <c r="I33" s="45"/>
      <c r="J33" s="69"/>
      <c r="K33" s="45"/>
      <c r="L33" s="45"/>
      <c r="M33" s="45"/>
      <c r="N33" s="69"/>
      <c r="O33" s="45"/>
      <c r="P33" s="45"/>
      <c r="Q33" s="69"/>
      <c r="R33" s="45"/>
      <c r="S33" s="45"/>
      <c r="T33" s="69"/>
      <c r="U33" s="45"/>
      <c r="V33" s="45"/>
      <c r="W33" s="45"/>
      <c r="X33" s="45"/>
      <c r="Y33" s="69"/>
      <c r="Z33" s="45"/>
      <c r="AA33" s="45"/>
      <c r="AB33" s="70"/>
      <c r="AC33" s="70"/>
      <c r="AD33" s="70"/>
      <c r="AE33" s="70"/>
      <c r="AF33" s="45"/>
      <c r="AG33" s="71"/>
      <c r="AH33" s="71"/>
      <c r="AI33" s="45"/>
      <c r="AJ33" s="45"/>
      <c r="AK33" s="45"/>
      <c r="AL33" s="45"/>
      <c r="AM33" s="45"/>
      <c r="AN33" s="45"/>
    </row>
    <row r="34">
      <c r="A34" s="45"/>
      <c r="B34" s="45"/>
      <c r="C34" s="45"/>
      <c r="D34" s="45"/>
      <c r="E34" s="45"/>
      <c r="F34" s="45"/>
      <c r="G34" s="69"/>
      <c r="H34" s="45"/>
      <c r="I34" s="45"/>
      <c r="J34" s="69"/>
      <c r="K34" s="45"/>
      <c r="L34" s="45"/>
      <c r="M34" s="45"/>
      <c r="N34" s="69"/>
      <c r="O34" s="45"/>
      <c r="P34" s="45"/>
      <c r="Q34" s="69"/>
      <c r="R34" s="45"/>
      <c r="S34" s="45"/>
      <c r="T34" s="69"/>
      <c r="U34" s="45"/>
      <c r="V34" s="45"/>
      <c r="W34" s="45"/>
      <c r="X34" s="45"/>
      <c r="Y34" s="69"/>
      <c r="Z34" s="45"/>
      <c r="AA34" s="45"/>
      <c r="AB34" s="70"/>
      <c r="AC34" s="70"/>
      <c r="AD34" s="70"/>
      <c r="AE34" s="70"/>
      <c r="AF34" s="45"/>
      <c r="AG34" s="71"/>
      <c r="AH34" s="71"/>
      <c r="AI34" s="45"/>
      <c r="AJ34" s="45"/>
      <c r="AK34" s="45"/>
      <c r="AL34" s="45"/>
      <c r="AM34" s="45"/>
      <c r="AN34" s="45"/>
    </row>
    <row r="35">
      <c r="A35" s="45"/>
      <c r="B35" s="45"/>
      <c r="C35" s="45"/>
      <c r="D35" s="45"/>
      <c r="E35" s="45"/>
      <c r="F35" s="45"/>
      <c r="G35" s="69"/>
      <c r="H35" s="45"/>
      <c r="I35" s="45"/>
      <c r="J35" s="69"/>
      <c r="K35" s="45"/>
      <c r="L35" s="45"/>
      <c r="M35" s="45"/>
      <c r="N35" s="69"/>
      <c r="O35" s="45"/>
      <c r="P35" s="45"/>
      <c r="Q35" s="69"/>
      <c r="R35" s="45"/>
      <c r="S35" s="45"/>
      <c r="T35" s="69"/>
      <c r="U35" s="45"/>
      <c r="V35" s="45"/>
      <c r="W35" s="45"/>
      <c r="X35" s="45"/>
      <c r="Y35" s="69"/>
      <c r="Z35" s="45"/>
      <c r="AA35" s="45"/>
      <c r="AB35" s="70"/>
      <c r="AC35" s="70"/>
      <c r="AD35" s="70"/>
      <c r="AE35" s="70"/>
      <c r="AF35" s="45"/>
      <c r="AG35" s="71"/>
      <c r="AH35" s="71"/>
      <c r="AI35" s="45"/>
      <c r="AJ35" s="45"/>
      <c r="AK35" s="45"/>
      <c r="AL35" s="45"/>
      <c r="AM35" s="45"/>
      <c r="AN35" s="45"/>
    </row>
    <row r="36">
      <c r="A36" s="45"/>
      <c r="B36" s="45"/>
      <c r="C36" s="45"/>
      <c r="D36" s="45"/>
      <c r="E36" s="45"/>
      <c r="F36" s="45"/>
      <c r="G36" s="69"/>
      <c r="H36" s="45"/>
      <c r="I36" s="45"/>
      <c r="J36" s="69"/>
      <c r="K36" s="45"/>
      <c r="L36" s="45"/>
      <c r="M36" s="45"/>
      <c r="N36" s="69"/>
      <c r="O36" s="45"/>
      <c r="P36" s="45"/>
      <c r="Q36" s="69"/>
      <c r="R36" s="45"/>
      <c r="S36" s="45"/>
      <c r="T36" s="69"/>
      <c r="U36" s="45"/>
      <c r="V36" s="45"/>
      <c r="W36" s="45"/>
      <c r="X36" s="45"/>
      <c r="Y36" s="69"/>
      <c r="Z36" s="45"/>
      <c r="AA36" s="45"/>
      <c r="AB36" s="70"/>
      <c r="AC36" s="70"/>
      <c r="AD36" s="70"/>
      <c r="AE36" s="70"/>
      <c r="AF36" s="45"/>
      <c r="AG36" s="71"/>
      <c r="AH36" s="71"/>
      <c r="AI36" s="45"/>
      <c r="AJ36" s="45"/>
      <c r="AK36" s="45"/>
      <c r="AL36" s="45"/>
      <c r="AM36" s="45"/>
      <c r="AN36" s="45"/>
    </row>
    <row r="37">
      <c r="A37" s="45"/>
      <c r="B37" s="45"/>
      <c r="C37" s="45"/>
      <c r="D37" s="45"/>
      <c r="E37" s="45"/>
      <c r="F37" s="45"/>
      <c r="G37" s="69"/>
      <c r="H37" s="45"/>
      <c r="I37" s="45"/>
      <c r="J37" s="69"/>
      <c r="K37" s="45"/>
      <c r="L37" s="45"/>
      <c r="M37" s="45"/>
      <c r="N37" s="69"/>
      <c r="O37" s="45"/>
      <c r="P37" s="45"/>
      <c r="Q37" s="69"/>
      <c r="R37" s="45"/>
      <c r="S37" s="45"/>
      <c r="T37" s="69"/>
      <c r="U37" s="45"/>
      <c r="V37" s="45"/>
      <c r="W37" s="45"/>
      <c r="X37" s="45"/>
      <c r="Y37" s="69"/>
      <c r="Z37" s="45"/>
      <c r="AA37" s="45"/>
      <c r="AB37" s="70"/>
      <c r="AC37" s="70"/>
      <c r="AD37" s="70"/>
      <c r="AE37" s="70"/>
      <c r="AF37" s="45"/>
      <c r="AG37" s="71"/>
      <c r="AH37" s="71"/>
      <c r="AI37" s="45"/>
      <c r="AJ37" s="45"/>
      <c r="AK37" s="45"/>
      <c r="AL37" s="45"/>
      <c r="AM37" s="45"/>
      <c r="AN37" s="45"/>
    </row>
    <row r="38">
      <c r="A38" s="45"/>
      <c r="B38" s="45"/>
      <c r="C38" s="45"/>
      <c r="D38" s="45"/>
      <c r="E38" s="45"/>
      <c r="F38" s="45"/>
      <c r="G38" s="69"/>
      <c r="H38" s="45"/>
      <c r="I38" s="45"/>
      <c r="J38" s="69"/>
      <c r="K38" s="45"/>
      <c r="L38" s="45"/>
      <c r="M38" s="45"/>
      <c r="N38" s="69"/>
      <c r="O38" s="45"/>
      <c r="P38" s="45"/>
      <c r="Q38" s="69"/>
      <c r="R38" s="45"/>
      <c r="S38" s="45"/>
      <c r="T38" s="69"/>
      <c r="U38" s="45"/>
      <c r="V38" s="45"/>
      <c r="W38" s="45"/>
      <c r="X38" s="45"/>
      <c r="Y38" s="69"/>
      <c r="Z38" s="45"/>
      <c r="AA38" s="45"/>
      <c r="AB38" s="70"/>
      <c r="AC38" s="70"/>
      <c r="AD38" s="70"/>
      <c r="AE38" s="70"/>
      <c r="AF38" s="45"/>
      <c r="AG38" s="71"/>
      <c r="AH38" s="71"/>
      <c r="AI38" s="45"/>
      <c r="AJ38" s="45"/>
      <c r="AK38" s="45"/>
      <c r="AL38" s="45"/>
      <c r="AM38" s="45"/>
      <c r="AN38" s="45"/>
    </row>
    <row r="39">
      <c r="A39" s="45"/>
      <c r="B39" s="45"/>
      <c r="C39" s="45"/>
      <c r="D39" s="45"/>
      <c r="E39" s="45"/>
      <c r="F39" s="45"/>
      <c r="G39" s="69"/>
      <c r="H39" s="45"/>
      <c r="I39" s="45"/>
      <c r="J39" s="69"/>
      <c r="K39" s="45"/>
      <c r="L39" s="45"/>
      <c r="M39" s="45"/>
      <c r="N39" s="69"/>
      <c r="O39" s="45"/>
      <c r="P39" s="45"/>
      <c r="Q39" s="69"/>
      <c r="R39" s="45"/>
      <c r="S39" s="45"/>
      <c r="T39" s="69"/>
      <c r="U39" s="45"/>
      <c r="V39" s="45"/>
      <c r="W39" s="45"/>
      <c r="X39" s="45"/>
      <c r="Y39" s="69"/>
      <c r="Z39" s="45"/>
      <c r="AA39" s="45"/>
      <c r="AB39" s="70"/>
      <c r="AC39" s="70"/>
      <c r="AD39" s="70"/>
      <c r="AE39" s="70"/>
      <c r="AF39" s="45"/>
      <c r="AG39" s="71"/>
      <c r="AH39" s="71"/>
      <c r="AI39" s="45"/>
      <c r="AJ39" s="45"/>
      <c r="AK39" s="45"/>
      <c r="AL39" s="45"/>
      <c r="AM39" s="45"/>
      <c r="AN39" s="45"/>
    </row>
    <row r="40">
      <c r="A40" s="45"/>
      <c r="B40" s="45"/>
      <c r="C40" s="45"/>
      <c r="D40" s="45"/>
      <c r="E40" s="45"/>
      <c r="F40" s="45"/>
      <c r="G40" s="69"/>
      <c r="H40" s="45"/>
      <c r="I40" s="45"/>
      <c r="J40" s="69"/>
      <c r="K40" s="45"/>
      <c r="L40" s="45"/>
      <c r="M40" s="45"/>
      <c r="N40" s="69"/>
      <c r="O40" s="45"/>
      <c r="P40" s="45"/>
      <c r="Q40" s="69"/>
      <c r="R40" s="45"/>
      <c r="S40" s="45"/>
      <c r="T40" s="69"/>
      <c r="U40" s="45"/>
      <c r="V40" s="45"/>
      <c r="W40" s="45"/>
      <c r="X40" s="45"/>
      <c r="Y40" s="69"/>
      <c r="Z40" s="45"/>
      <c r="AA40" s="45"/>
      <c r="AB40" s="70"/>
      <c r="AC40" s="70"/>
      <c r="AD40" s="70"/>
      <c r="AE40" s="70"/>
      <c r="AF40" s="45"/>
      <c r="AG40" s="71"/>
      <c r="AH40" s="71"/>
      <c r="AI40" s="45"/>
      <c r="AJ40" s="45"/>
      <c r="AK40" s="45"/>
      <c r="AL40" s="45"/>
      <c r="AM40" s="45"/>
      <c r="AN40" s="45"/>
    </row>
    <row r="41">
      <c r="A41" s="45"/>
      <c r="B41" s="45"/>
      <c r="C41" s="45"/>
      <c r="D41" s="45"/>
      <c r="E41" s="45"/>
      <c r="F41" s="45"/>
      <c r="G41" s="69"/>
      <c r="H41" s="45"/>
      <c r="I41" s="45"/>
      <c r="J41" s="69"/>
      <c r="K41" s="45"/>
      <c r="L41" s="45"/>
      <c r="M41" s="45"/>
      <c r="N41" s="69"/>
      <c r="O41" s="45"/>
      <c r="P41" s="45"/>
      <c r="Q41" s="69"/>
      <c r="R41" s="45"/>
      <c r="S41" s="45"/>
      <c r="T41" s="69"/>
      <c r="U41" s="45"/>
      <c r="V41" s="45"/>
      <c r="W41" s="45"/>
      <c r="X41" s="45"/>
      <c r="Y41" s="69"/>
      <c r="Z41" s="45"/>
      <c r="AA41" s="45"/>
      <c r="AB41" s="70"/>
      <c r="AC41" s="70"/>
      <c r="AD41" s="70"/>
      <c r="AE41" s="70"/>
      <c r="AF41" s="45"/>
      <c r="AG41" s="71"/>
      <c r="AH41" s="71"/>
      <c r="AI41" s="45"/>
      <c r="AJ41" s="45"/>
      <c r="AK41" s="45"/>
      <c r="AL41" s="45"/>
      <c r="AM41" s="45"/>
      <c r="AN41" s="45"/>
    </row>
    <row r="42">
      <c r="A42" s="45"/>
      <c r="B42" s="45"/>
      <c r="C42" s="45"/>
      <c r="D42" s="45"/>
      <c r="E42" s="45"/>
      <c r="F42" s="45"/>
      <c r="G42" s="69"/>
      <c r="H42" s="45"/>
      <c r="I42" s="45"/>
      <c r="J42" s="69"/>
      <c r="K42" s="45"/>
      <c r="L42" s="45"/>
      <c r="M42" s="45"/>
      <c r="N42" s="69"/>
      <c r="O42" s="45"/>
      <c r="P42" s="45"/>
      <c r="Q42" s="69"/>
      <c r="R42" s="45"/>
      <c r="S42" s="45"/>
      <c r="T42" s="69"/>
      <c r="U42" s="45"/>
      <c r="V42" s="45"/>
      <c r="W42" s="45"/>
      <c r="X42" s="45"/>
      <c r="Y42" s="69"/>
      <c r="Z42" s="45"/>
      <c r="AA42" s="45"/>
      <c r="AB42" s="70"/>
      <c r="AC42" s="70"/>
      <c r="AD42" s="70"/>
      <c r="AE42" s="70"/>
      <c r="AF42" s="45"/>
      <c r="AG42" s="71"/>
      <c r="AH42" s="71"/>
      <c r="AI42" s="45"/>
      <c r="AJ42" s="45"/>
      <c r="AK42" s="45"/>
      <c r="AL42" s="45"/>
      <c r="AM42" s="45"/>
      <c r="AN42" s="45"/>
    </row>
    <row r="43">
      <c r="A43" s="45"/>
      <c r="B43" s="45"/>
      <c r="C43" s="45"/>
      <c r="D43" s="45"/>
      <c r="E43" s="45"/>
      <c r="F43" s="45"/>
      <c r="G43" s="69"/>
      <c r="H43" s="45"/>
      <c r="I43" s="45"/>
      <c r="J43" s="69"/>
      <c r="K43" s="45"/>
      <c r="L43" s="45"/>
      <c r="M43" s="45"/>
      <c r="N43" s="69"/>
      <c r="O43" s="45"/>
      <c r="P43" s="45"/>
      <c r="Q43" s="69"/>
      <c r="R43" s="45"/>
      <c r="S43" s="45"/>
      <c r="T43" s="69"/>
      <c r="U43" s="45"/>
      <c r="V43" s="45"/>
      <c r="W43" s="45"/>
      <c r="X43" s="45"/>
      <c r="Y43" s="69"/>
      <c r="Z43" s="45"/>
      <c r="AA43" s="45"/>
      <c r="AB43" s="70"/>
      <c r="AC43" s="70"/>
      <c r="AD43" s="70"/>
      <c r="AE43" s="70"/>
      <c r="AF43" s="45"/>
      <c r="AG43" s="71"/>
      <c r="AH43" s="71"/>
      <c r="AI43" s="45"/>
      <c r="AJ43" s="45"/>
      <c r="AK43" s="45"/>
      <c r="AL43" s="45"/>
      <c r="AM43" s="45"/>
      <c r="AN43" s="45"/>
    </row>
    <row r="44">
      <c r="A44" s="45"/>
      <c r="B44" s="45"/>
      <c r="C44" s="45"/>
      <c r="D44" s="45"/>
      <c r="E44" s="45"/>
      <c r="F44" s="45"/>
      <c r="G44" s="69"/>
      <c r="H44" s="45"/>
      <c r="I44" s="45"/>
      <c r="J44" s="69"/>
      <c r="K44" s="45"/>
      <c r="L44" s="45"/>
      <c r="M44" s="45"/>
      <c r="N44" s="69"/>
      <c r="O44" s="45"/>
      <c r="P44" s="45"/>
      <c r="Q44" s="69"/>
      <c r="R44" s="45"/>
      <c r="S44" s="45"/>
      <c r="T44" s="69"/>
      <c r="U44" s="45"/>
      <c r="V44" s="45"/>
      <c r="W44" s="45"/>
      <c r="X44" s="45"/>
      <c r="Y44" s="69"/>
      <c r="Z44" s="45"/>
      <c r="AA44" s="45"/>
      <c r="AB44" s="70"/>
      <c r="AC44" s="70"/>
      <c r="AD44" s="70"/>
      <c r="AE44" s="70"/>
      <c r="AF44" s="45"/>
      <c r="AG44" s="71"/>
      <c r="AH44" s="71"/>
      <c r="AI44" s="45"/>
      <c r="AJ44" s="45"/>
      <c r="AK44" s="45"/>
      <c r="AL44" s="45"/>
      <c r="AM44" s="45"/>
      <c r="AN44" s="45"/>
    </row>
    <row r="45">
      <c r="A45" s="45"/>
      <c r="B45" s="45"/>
      <c r="C45" s="45"/>
      <c r="D45" s="45"/>
      <c r="E45" s="45"/>
      <c r="F45" s="45"/>
      <c r="G45" s="69"/>
      <c r="H45" s="45"/>
      <c r="I45" s="45"/>
      <c r="J45" s="69"/>
      <c r="K45" s="45"/>
      <c r="L45" s="45"/>
      <c r="M45" s="45"/>
      <c r="N45" s="69"/>
      <c r="O45" s="45"/>
      <c r="P45" s="45"/>
      <c r="Q45" s="69"/>
      <c r="R45" s="45"/>
      <c r="S45" s="45"/>
      <c r="T45" s="69"/>
      <c r="U45" s="45"/>
      <c r="V45" s="45"/>
      <c r="W45" s="45"/>
      <c r="X45" s="45"/>
      <c r="Y45" s="69"/>
      <c r="Z45" s="45"/>
      <c r="AA45" s="45"/>
      <c r="AB45" s="70"/>
      <c r="AC45" s="70"/>
      <c r="AD45" s="70"/>
      <c r="AE45" s="70"/>
      <c r="AF45" s="45"/>
      <c r="AG45" s="71"/>
      <c r="AH45" s="71"/>
      <c r="AI45" s="45"/>
      <c r="AJ45" s="45"/>
      <c r="AK45" s="45"/>
      <c r="AL45" s="45"/>
      <c r="AM45" s="45"/>
      <c r="AN45" s="45"/>
    </row>
    <row r="46">
      <c r="A46" s="45"/>
      <c r="B46" s="45"/>
      <c r="C46" s="45"/>
      <c r="D46" s="45"/>
      <c r="E46" s="45"/>
      <c r="F46" s="45"/>
      <c r="G46" s="69"/>
      <c r="H46" s="45"/>
      <c r="I46" s="45"/>
      <c r="J46" s="69"/>
      <c r="K46" s="45"/>
      <c r="L46" s="45"/>
      <c r="M46" s="45"/>
      <c r="N46" s="69"/>
      <c r="O46" s="45"/>
      <c r="P46" s="45"/>
      <c r="Q46" s="69"/>
      <c r="R46" s="45"/>
      <c r="S46" s="45"/>
      <c r="T46" s="69"/>
      <c r="U46" s="45"/>
      <c r="V46" s="45"/>
      <c r="W46" s="45"/>
      <c r="X46" s="45"/>
      <c r="Y46" s="69"/>
      <c r="Z46" s="45"/>
      <c r="AA46" s="45"/>
      <c r="AB46" s="70"/>
      <c r="AC46" s="70"/>
      <c r="AD46" s="70"/>
      <c r="AE46" s="70"/>
      <c r="AF46" s="45"/>
      <c r="AG46" s="71"/>
      <c r="AH46" s="71"/>
      <c r="AI46" s="45"/>
      <c r="AJ46" s="45"/>
      <c r="AK46" s="45"/>
      <c r="AL46" s="45"/>
      <c r="AM46" s="45"/>
      <c r="AN46" s="45"/>
    </row>
    <row r="47">
      <c r="A47" s="45"/>
      <c r="B47" s="45"/>
      <c r="C47" s="45"/>
      <c r="D47" s="45"/>
      <c r="E47" s="45"/>
      <c r="F47" s="45"/>
      <c r="G47" s="69"/>
      <c r="H47" s="45"/>
      <c r="I47" s="45"/>
      <c r="J47" s="69"/>
      <c r="K47" s="45"/>
      <c r="L47" s="45"/>
      <c r="M47" s="45"/>
      <c r="N47" s="69"/>
      <c r="O47" s="45"/>
      <c r="P47" s="45"/>
      <c r="Q47" s="69"/>
      <c r="R47" s="45"/>
      <c r="S47" s="45"/>
      <c r="T47" s="69"/>
      <c r="U47" s="45"/>
      <c r="V47" s="45"/>
      <c r="W47" s="45"/>
      <c r="X47" s="45"/>
      <c r="Y47" s="69"/>
      <c r="Z47" s="45"/>
      <c r="AA47" s="45"/>
      <c r="AB47" s="70"/>
      <c r="AC47" s="70"/>
      <c r="AD47" s="70"/>
      <c r="AE47" s="70"/>
      <c r="AF47" s="45"/>
      <c r="AG47" s="71"/>
      <c r="AH47" s="71"/>
      <c r="AI47" s="45"/>
      <c r="AJ47" s="45"/>
      <c r="AK47" s="45"/>
      <c r="AL47" s="45"/>
      <c r="AM47" s="45"/>
      <c r="AN47" s="45"/>
    </row>
    <row r="48">
      <c r="A48" s="45"/>
      <c r="B48" s="45"/>
      <c r="C48" s="45"/>
      <c r="D48" s="45"/>
      <c r="E48" s="45"/>
      <c r="F48" s="45"/>
      <c r="G48" s="69"/>
      <c r="H48" s="45"/>
      <c r="I48" s="45"/>
      <c r="J48" s="69"/>
      <c r="K48" s="45"/>
      <c r="L48" s="45"/>
      <c r="M48" s="45"/>
      <c r="N48" s="69"/>
      <c r="O48" s="45"/>
      <c r="P48" s="45"/>
      <c r="Q48" s="69"/>
      <c r="R48" s="45"/>
      <c r="S48" s="45"/>
      <c r="T48" s="69"/>
      <c r="U48" s="45"/>
      <c r="V48" s="45"/>
      <c r="W48" s="45"/>
      <c r="X48" s="45"/>
      <c r="Y48" s="69"/>
      <c r="Z48" s="45"/>
      <c r="AA48" s="45"/>
      <c r="AB48" s="70"/>
      <c r="AC48" s="70"/>
      <c r="AD48" s="70"/>
      <c r="AE48" s="70"/>
      <c r="AF48" s="45"/>
      <c r="AG48" s="71"/>
      <c r="AH48" s="71"/>
      <c r="AI48" s="45"/>
      <c r="AJ48" s="45"/>
      <c r="AK48" s="45"/>
      <c r="AL48" s="45"/>
      <c r="AM48" s="45"/>
      <c r="AN48" s="45"/>
    </row>
    <row r="49">
      <c r="A49" s="45"/>
      <c r="B49" s="45"/>
      <c r="C49" s="45"/>
      <c r="D49" s="45"/>
      <c r="E49" s="45"/>
      <c r="F49" s="45"/>
      <c r="G49" s="69"/>
      <c r="H49" s="45"/>
      <c r="I49" s="45"/>
      <c r="J49" s="69"/>
      <c r="K49" s="45"/>
      <c r="L49" s="45"/>
      <c r="M49" s="45"/>
      <c r="N49" s="69"/>
      <c r="O49" s="45"/>
      <c r="P49" s="45"/>
      <c r="Q49" s="69"/>
      <c r="R49" s="45"/>
      <c r="S49" s="45"/>
      <c r="T49" s="69"/>
      <c r="U49" s="45"/>
      <c r="V49" s="45"/>
      <c r="W49" s="45"/>
      <c r="X49" s="45"/>
      <c r="Y49" s="69"/>
      <c r="Z49" s="45"/>
      <c r="AA49" s="45"/>
      <c r="AB49" s="70"/>
      <c r="AC49" s="70"/>
      <c r="AD49" s="70"/>
      <c r="AE49" s="70"/>
      <c r="AF49" s="45"/>
      <c r="AG49" s="71"/>
      <c r="AH49" s="71"/>
      <c r="AI49" s="45"/>
      <c r="AJ49" s="45"/>
      <c r="AK49" s="45"/>
      <c r="AL49" s="45"/>
      <c r="AM49" s="45"/>
      <c r="AN49" s="45"/>
    </row>
    <row r="50">
      <c r="A50" s="45"/>
      <c r="B50" s="45"/>
      <c r="C50" s="45"/>
      <c r="D50" s="45"/>
      <c r="E50" s="45"/>
      <c r="F50" s="45"/>
      <c r="G50" s="69"/>
      <c r="H50" s="45"/>
      <c r="I50" s="45"/>
      <c r="J50" s="69"/>
      <c r="K50" s="45"/>
      <c r="L50" s="45"/>
      <c r="M50" s="45"/>
      <c r="N50" s="69"/>
      <c r="O50" s="45"/>
      <c r="P50" s="45"/>
      <c r="Q50" s="69"/>
      <c r="R50" s="45"/>
      <c r="S50" s="45"/>
      <c r="T50" s="69"/>
      <c r="U50" s="45"/>
      <c r="V50" s="45"/>
      <c r="W50" s="45"/>
      <c r="X50" s="45"/>
      <c r="Y50" s="69"/>
      <c r="Z50" s="45"/>
      <c r="AA50" s="45"/>
      <c r="AB50" s="70"/>
      <c r="AC50" s="70"/>
      <c r="AD50" s="70"/>
      <c r="AE50" s="70"/>
      <c r="AF50" s="45"/>
      <c r="AG50" s="71"/>
      <c r="AH50" s="71"/>
      <c r="AI50" s="45"/>
      <c r="AJ50" s="45"/>
      <c r="AK50" s="45"/>
      <c r="AL50" s="45"/>
      <c r="AM50" s="45"/>
      <c r="AN50" s="45"/>
    </row>
    <row r="51">
      <c r="A51" s="45"/>
      <c r="B51" s="45"/>
      <c r="C51" s="45"/>
      <c r="D51" s="45"/>
      <c r="E51" s="45"/>
      <c r="F51" s="45"/>
      <c r="G51" s="69"/>
      <c r="H51" s="45"/>
      <c r="I51" s="45"/>
      <c r="J51" s="69"/>
      <c r="K51" s="45"/>
      <c r="L51" s="45"/>
      <c r="M51" s="45"/>
      <c r="N51" s="69"/>
      <c r="O51" s="45"/>
      <c r="P51" s="45"/>
      <c r="Q51" s="69"/>
      <c r="R51" s="45"/>
      <c r="S51" s="45"/>
      <c r="T51" s="69"/>
      <c r="U51" s="45"/>
      <c r="V51" s="45"/>
      <c r="W51" s="45"/>
      <c r="X51" s="45"/>
      <c r="Y51" s="69"/>
      <c r="Z51" s="45"/>
      <c r="AA51" s="45"/>
      <c r="AB51" s="70"/>
      <c r="AC51" s="70"/>
      <c r="AD51" s="70"/>
      <c r="AE51" s="70"/>
      <c r="AF51" s="45"/>
      <c r="AG51" s="71"/>
      <c r="AH51" s="71"/>
      <c r="AI51" s="45"/>
      <c r="AJ51" s="45"/>
      <c r="AK51" s="45"/>
      <c r="AL51" s="45"/>
      <c r="AM51" s="45"/>
      <c r="AN51" s="45"/>
    </row>
    <row r="52">
      <c r="A52" s="45"/>
      <c r="B52" s="45"/>
      <c r="C52" s="45"/>
      <c r="D52" s="45"/>
      <c r="E52" s="45"/>
      <c r="F52" s="45"/>
      <c r="G52" s="69"/>
      <c r="H52" s="45"/>
      <c r="I52" s="45"/>
      <c r="J52" s="69"/>
      <c r="K52" s="45"/>
      <c r="L52" s="45"/>
      <c r="M52" s="45"/>
      <c r="N52" s="69"/>
      <c r="O52" s="45"/>
      <c r="P52" s="45"/>
      <c r="Q52" s="69"/>
      <c r="R52" s="45"/>
      <c r="S52" s="45"/>
      <c r="T52" s="69"/>
      <c r="U52" s="45"/>
      <c r="V52" s="45"/>
      <c r="W52" s="45"/>
      <c r="X52" s="45"/>
      <c r="Y52" s="69"/>
      <c r="Z52" s="45"/>
      <c r="AA52" s="45"/>
      <c r="AB52" s="70"/>
      <c r="AC52" s="70"/>
      <c r="AD52" s="70"/>
      <c r="AE52" s="70"/>
      <c r="AF52" s="45"/>
      <c r="AG52" s="71"/>
      <c r="AH52" s="71"/>
      <c r="AI52" s="45"/>
      <c r="AJ52" s="45"/>
      <c r="AK52" s="45"/>
      <c r="AL52" s="45"/>
      <c r="AM52" s="45"/>
      <c r="AN52" s="45"/>
    </row>
    <row r="53">
      <c r="A53" s="45"/>
      <c r="B53" s="45"/>
      <c r="C53" s="45"/>
      <c r="D53" s="45"/>
      <c r="E53" s="45"/>
      <c r="F53" s="45"/>
      <c r="G53" s="69"/>
      <c r="H53" s="45"/>
      <c r="I53" s="45"/>
      <c r="J53" s="69"/>
      <c r="K53" s="45"/>
      <c r="L53" s="45"/>
      <c r="M53" s="45"/>
      <c r="N53" s="69"/>
      <c r="O53" s="45"/>
      <c r="P53" s="45"/>
      <c r="Q53" s="69"/>
      <c r="R53" s="45"/>
      <c r="S53" s="45"/>
      <c r="T53" s="69"/>
      <c r="U53" s="45"/>
      <c r="V53" s="45"/>
      <c r="W53" s="45"/>
      <c r="X53" s="45"/>
      <c r="Y53" s="69"/>
      <c r="Z53" s="45"/>
      <c r="AA53" s="45"/>
      <c r="AB53" s="70"/>
      <c r="AC53" s="70"/>
      <c r="AD53" s="70"/>
      <c r="AE53" s="70"/>
      <c r="AF53" s="45"/>
      <c r="AG53" s="71"/>
      <c r="AH53" s="71"/>
      <c r="AI53" s="45"/>
      <c r="AJ53" s="45"/>
      <c r="AK53" s="45"/>
      <c r="AL53" s="45"/>
      <c r="AM53" s="45"/>
      <c r="AN53" s="45"/>
    </row>
    <row r="54">
      <c r="A54" s="45"/>
      <c r="B54" s="45"/>
      <c r="C54" s="45"/>
      <c r="D54" s="45"/>
      <c r="E54" s="45"/>
      <c r="F54" s="45"/>
      <c r="G54" s="69"/>
      <c r="H54" s="45"/>
      <c r="I54" s="45"/>
      <c r="J54" s="69"/>
      <c r="K54" s="45"/>
      <c r="L54" s="45"/>
      <c r="M54" s="45"/>
      <c r="N54" s="69"/>
      <c r="O54" s="45"/>
      <c r="P54" s="45"/>
      <c r="Q54" s="69"/>
      <c r="R54" s="45"/>
      <c r="S54" s="45"/>
      <c r="T54" s="69"/>
      <c r="U54" s="45"/>
      <c r="V54" s="45"/>
      <c r="W54" s="45"/>
      <c r="X54" s="45"/>
      <c r="Y54" s="69"/>
      <c r="Z54" s="45"/>
      <c r="AA54" s="45"/>
      <c r="AB54" s="70"/>
      <c r="AC54" s="70"/>
      <c r="AD54" s="70"/>
      <c r="AE54" s="70"/>
      <c r="AF54" s="45"/>
      <c r="AG54" s="71"/>
      <c r="AH54" s="71"/>
      <c r="AI54" s="45"/>
      <c r="AJ54" s="45"/>
      <c r="AK54" s="45"/>
      <c r="AL54" s="45"/>
      <c r="AM54" s="45"/>
      <c r="AN54" s="45"/>
    </row>
    <row r="55">
      <c r="A55" s="45"/>
      <c r="B55" s="45"/>
      <c r="C55" s="45"/>
      <c r="D55" s="45"/>
      <c r="E55" s="45"/>
      <c r="F55" s="45"/>
      <c r="G55" s="69"/>
      <c r="H55" s="45"/>
      <c r="I55" s="45"/>
      <c r="J55" s="69"/>
      <c r="K55" s="45"/>
      <c r="L55" s="45"/>
      <c r="M55" s="45"/>
      <c r="N55" s="69"/>
      <c r="O55" s="45"/>
      <c r="P55" s="45"/>
      <c r="Q55" s="69"/>
      <c r="R55" s="45"/>
      <c r="S55" s="45"/>
      <c r="T55" s="69"/>
      <c r="U55" s="45"/>
      <c r="V55" s="45"/>
      <c r="W55" s="45"/>
      <c r="X55" s="45"/>
      <c r="Y55" s="69"/>
      <c r="Z55" s="45"/>
      <c r="AA55" s="45"/>
      <c r="AB55" s="70"/>
      <c r="AC55" s="70"/>
      <c r="AD55" s="70"/>
      <c r="AE55" s="70"/>
      <c r="AF55" s="45"/>
      <c r="AG55" s="71"/>
      <c r="AH55" s="71"/>
      <c r="AI55" s="45"/>
      <c r="AJ55" s="45"/>
      <c r="AK55" s="45"/>
      <c r="AL55" s="45"/>
      <c r="AM55" s="45"/>
      <c r="AN55" s="45"/>
    </row>
    <row r="56">
      <c r="A56" s="45"/>
      <c r="B56" s="45"/>
      <c r="C56" s="45"/>
      <c r="D56" s="45"/>
      <c r="E56" s="45"/>
      <c r="F56" s="45"/>
      <c r="G56" s="69"/>
      <c r="H56" s="45"/>
      <c r="I56" s="45"/>
      <c r="J56" s="69"/>
      <c r="K56" s="45"/>
      <c r="L56" s="45"/>
      <c r="M56" s="45"/>
      <c r="N56" s="69"/>
      <c r="O56" s="45"/>
      <c r="P56" s="45"/>
      <c r="Q56" s="69"/>
      <c r="R56" s="45"/>
      <c r="S56" s="45"/>
      <c r="T56" s="69"/>
      <c r="U56" s="45"/>
      <c r="V56" s="45"/>
      <c r="W56" s="45"/>
      <c r="X56" s="45"/>
      <c r="Y56" s="69"/>
      <c r="Z56" s="45"/>
      <c r="AA56" s="45"/>
      <c r="AB56" s="70"/>
      <c r="AC56" s="70"/>
      <c r="AD56" s="70"/>
      <c r="AE56" s="70"/>
      <c r="AF56" s="45"/>
      <c r="AG56" s="71"/>
      <c r="AH56" s="71"/>
      <c r="AI56" s="45"/>
      <c r="AJ56" s="45"/>
      <c r="AK56" s="45"/>
      <c r="AL56" s="45"/>
      <c r="AM56" s="45"/>
      <c r="AN56" s="45"/>
    </row>
    <row r="57">
      <c r="A57" s="45"/>
      <c r="B57" s="45"/>
      <c r="C57" s="45"/>
      <c r="D57" s="45"/>
      <c r="E57" s="45"/>
      <c r="F57" s="45"/>
      <c r="G57" s="69"/>
      <c r="H57" s="45"/>
      <c r="I57" s="45"/>
      <c r="J57" s="69"/>
      <c r="K57" s="45"/>
      <c r="L57" s="45"/>
      <c r="M57" s="45"/>
      <c r="N57" s="69"/>
      <c r="O57" s="45"/>
      <c r="P57" s="45"/>
      <c r="Q57" s="69"/>
      <c r="R57" s="45"/>
      <c r="S57" s="45"/>
      <c r="T57" s="69"/>
      <c r="U57" s="45"/>
      <c r="V57" s="45"/>
      <c r="W57" s="45"/>
      <c r="X57" s="45"/>
      <c r="Y57" s="69"/>
      <c r="Z57" s="45"/>
      <c r="AA57" s="45"/>
      <c r="AB57" s="70"/>
      <c r="AC57" s="70"/>
      <c r="AD57" s="70"/>
      <c r="AE57" s="70"/>
      <c r="AF57" s="45"/>
      <c r="AG57" s="71"/>
      <c r="AH57" s="71"/>
      <c r="AI57" s="45"/>
      <c r="AJ57" s="45"/>
      <c r="AK57" s="45"/>
      <c r="AL57" s="45"/>
      <c r="AM57" s="45"/>
      <c r="AN57" s="45"/>
    </row>
    <row r="58">
      <c r="A58" s="45"/>
      <c r="B58" s="45"/>
      <c r="C58" s="45"/>
      <c r="D58" s="45"/>
      <c r="E58" s="45"/>
      <c r="F58" s="45"/>
      <c r="G58" s="69"/>
      <c r="H58" s="45"/>
      <c r="I58" s="45"/>
      <c r="J58" s="69"/>
      <c r="K58" s="45"/>
      <c r="L58" s="45"/>
      <c r="M58" s="45"/>
      <c r="N58" s="69"/>
      <c r="O58" s="45"/>
      <c r="P58" s="45"/>
      <c r="Q58" s="69"/>
      <c r="R58" s="45"/>
      <c r="S58" s="45"/>
      <c r="T58" s="69"/>
      <c r="U58" s="45"/>
      <c r="V58" s="45"/>
      <c r="W58" s="45"/>
      <c r="X58" s="45"/>
      <c r="Y58" s="69"/>
      <c r="Z58" s="45"/>
      <c r="AA58" s="45"/>
      <c r="AB58" s="70"/>
      <c r="AC58" s="70"/>
      <c r="AD58" s="70"/>
      <c r="AE58" s="70"/>
      <c r="AF58" s="45"/>
      <c r="AG58" s="71"/>
      <c r="AH58" s="71"/>
      <c r="AI58" s="45"/>
      <c r="AJ58" s="45"/>
      <c r="AK58" s="45"/>
      <c r="AL58" s="45"/>
      <c r="AM58" s="45"/>
      <c r="AN58" s="45"/>
    </row>
    <row r="59">
      <c r="A59" s="45"/>
      <c r="B59" s="45"/>
      <c r="C59" s="45"/>
      <c r="D59" s="45"/>
      <c r="E59" s="45"/>
      <c r="F59" s="45"/>
      <c r="G59" s="69"/>
      <c r="H59" s="45"/>
      <c r="I59" s="45"/>
      <c r="J59" s="69"/>
      <c r="K59" s="45"/>
      <c r="L59" s="45"/>
      <c r="M59" s="45"/>
      <c r="N59" s="69"/>
      <c r="O59" s="45"/>
      <c r="P59" s="45"/>
      <c r="Q59" s="69"/>
      <c r="R59" s="45"/>
      <c r="S59" s="45"/>
      <c r="T59" s="69"/>
      <c r="U59" s="45"/>
      <c r="V59" s="45"/>
      <c r="W59" s="45"/>
      <c r="X59" s="45"/>
      <c r="Y59" s="69"/>
      <c r="Z59" s="45"/>
      <c r="AA59" s="45"/>
      <c r="AB59" s="70"/>
      <c r="AC59" s="70"/>
      <c r="AD59" s="70"/>
      <c r="AE59" s="70"/>
      <c r="AF59" s="45"/>
      <c r="AG59" s="71"/>
      <c r="AH59" s="71"/>
      <c r="AI59" s="45"/>
      <c r="AJ59" s="45"/>
      <c r="AK59" s="45"/>
      <c r="AL59" s="45"/>
      <c r="AM59" s="45"/>
      <c r="AN59" s="45"/>
    </row>
    <row r="60">
      <c r="A60" s="45"/>
      <c r="B60" s="45"/>
      <c r="C60" s="45"/>
      <c r="D60" s="45"/>
      <c r="E60" s="45"/>
      <c r="F60" s="45"/>
      <c r="G60" s="69"/>
      <c r="H60" s="45"/>
      <c r="I60" s="45"/>
      <c r="J60" s="69"/>
      <c r="K60" s="45"/>
      <c r="L60" s="45"/>
      <c r="M60" s="45"/>
      <c r="N60" s="69"/>
      <c r="O60" s="45"/>
      <c r="P60" s="45"/>
      <c r="Q60" s="69"/>
      <c r="R60" s="45"/>
      <c r="S60" s="45"/>
      <c r="T60" s="69"/>
      <c r="U60" s="45"/>
      <c r="V60" s="45"/>
      <c r="W60" s="45"/>
      <c r="X60" s="45"/>
      <c r="Y60" s="69"/>
      <c r="Z60" s="45"/>
      <c r="AA60" s="45"/>
      <c r="AB60" s="70"/>
      <c r="AC60" s="70"/>
      <c r="AD60" s="70"/>
      <c r="AE60" s="70"/>
      <c r="AF60" s="45"/>
      <c r="AG60" s="71"/>
      <c r="AH60" s="71"/>
      <c r="AI60" s="45"/>
      <c r="AJ60" s="45"/>
      <c r="AK60" s="45"/>
      <c r="AL60" s="45"/>
      <c r="AM60" s="45"/>
      <c r="AN60" s="45"/>
    </row>
    <row r="61">
      <c r="A61" s="45"/>
      <c r="B61" s="45"/>
      <c r="C61" s="45"/>
      <c r="D61" s="45"/>
      <c r="E61" s="45"/>
      <c r="F61" s="45"/>
      <c r="G61" s="69"/>
      <c r="H61" s="45"/>
      <c r="I61" s="45"/>
      <c r="J61" s="69"/>
      <c r="K61" s="45"/>
      <c r="L61" s="45"/>
      <c r="M61" s="45"/>
      <c r="N61" s="69"/>
      <c r="O61" s="45"/>
      <c r="P61" s="45"/>
      <c r="Q61" s="69"/>
      <c r="R61" s="45"/>
      <c r="S61" s="45"/>
      <c r="T61" s="69"/>
      <c r="U61" s="45"/>
      <c r="V61" s="45"/>
      <c r="W61" s="45"/>
      <c r="X61" s="45"/>
      <c r="Y61" s="69"/>
      <c r="Z61" s="45"/>
      <c r="AA61" s="45"/>
      <c r="AB61" s="70"/>
      <c r="AC61" s="70"/>
      <c r="AD61" s="70"/>
      <c r="AE61" s="70"/>
      <c r="AF61" s="45"/>
      <c r="AG61" s="71"/>
      <c r="AH61" s="71"/>
      <c r="AI61" s="45"/>
      <c r="AJ61" s="45"/>
      <c r="AK61" s="45"/>
      <c r="AL61" s="45"/>
      <c r="AM61" s="45"/>
      <c r="AN61" s="45"/>
    </row>
    <row r="62">
      <c r="A62" s="45"/>
      <c r="B62" s="45"/>
      <c r="C62" s="45"/>
      <c r="D62" s="45"/>
      <c r="E62" s="45"/>
      <c r="F62" s="45"/>
      <c r="G62" s="69"/>
      <c r="H62" s="45"/>
      <c r="I62" s="45"/>
      <c r="J62" s="69"/>
      <c r="K62" s="45"/>
      <c r="L62" s="45"/>
      <c r="M62" s="45"/>
      <c r="N62" s="69"/>
      <c r="O62" s="45"/>
      <c r="P62" s="45"/>
      <c r="Q62" s="69"/>
      <c r="R62" s="45"/>
      <c r="S62" s="45"/>
      <c r="T62" s="69"/>
      <c r="U62" s="45"/>
      <c r="V62" s="45"/>
      <c r="W62" s="45"/>
      <c r="X62" s="45"/>
      <c r="Y62" s="69"/>
      <c r="Z62" s="45"/>
      <c r="AA62" s="45"/>
      <c r="AB62" s="70"/>
      <c r="AC62" s="70"/>
      <c r="AD62" s="70"/>
      <c r="AE62" s="70"/>
      <c r="AF62" s="45"/>
      <c r="AG62" s="71"/>
      <c r="AH62" s="71"/>
      <c r="AI62" s="45"/>
      <c r="AJ62" s="45"/>
      <c r="AK62" s="45"/>
      <c r="AL62" s="45"/>
      <c r="AM62" s="45"/>
      <c r="AN62" s="45"/>
    </row>
    <row r="63">
      <c r="A63" s="45"/>
      <c r="B63" s="45"/>
      <c r="C63" s="45"/>
      <c r="D63" s="45"/>
      <c r="E63" s="45"/>
      <c r="F63" s="45"/>
      <c r="G63" s="69"/>
      <c r="H63" s="45"/>
      <c r="I63" s="45"/>
      <c r="J63" s="69"/>
      <c r="K63" s="45"/>
      <c r="L63" s="45"/>
      <c r="M63" s="45"/>
      <c r="N63" s="69"/>
      <c r="O63" s="45"/>
      <c r="P63" s="45"/>
      <c r="Q63" s="69"/>
      <c r="R63" s="45"/>
      <c r="S63" s="45"/>
      <c r="T63" s="69"/>
      <c r="U63" s="45"/>
      <c r="V63" s="45"/>
      <c r="W63" s="45"/>
      <c r="X63" s="45"/>
      <c r="Y63" s="69"/>
      <c r="Z63" s="45"/>
      <c r="AA63" s="45"/>
      <c r="AB63" s="70"/>
      <c r="AC63" s="70"/>
      <c r="AD63" s="70"/>
      <c r="AE63" s="70"/>
      <c r="AF63" s="45"/>
      <c r="AG63" s="71"/>
      <c r="AH63" s="71"/>
      <c r="AI63" s="45"/>
      <c r="AJ63" s="45"/>
      <c r="AK63" s="45"/>
      <c r="AL63" s="45"/>
      <c r="AM63" s="45"/>
      <c r="AN63" s="45"/>
    </row>
    <row r="64">
      <c r="A64" s="45"/>
      <c r="B64" s="45"/>
      <c r="C64" s="45"/>
      <c r="D64" s="45"/>
      <c r="E64" s="45"/>
      <c r="F64" s="45"/>
      <c r="G64" s="69"/>
      <c r="H64" s="45"/>
      <c r="I64" s="45"/>
      <c r="J64" s="69"/>
      <c r="K64" s="45"/>
      <c r="L64" s="45"/>
      <c r="M64" s="45"/>
      <c r="N64" s="69"/>
      <c r="O64" s="45"/>
      <c r="P64" s="45"/>
      <c r="Q64" s="69"/>
      <c r="R64" s="45"/>
      <c r="S64" s="45"/>
      <c r="T64" s="69"/>
      <c r="U64" s="45"/>
      <c r="V64" s="45"/>
      <c r="W64" s="45"/>
      <c r="X64" s="45"/>
      <c r="Y64" s="69"/>
      <c r="Z64" s="45"/>
      <c r="AA64" s="45"/>
      <c r="AB64" s="70"/>
      <c r="AC64" s="70"/>
      <c r="AD64" s="70"/>
      <c r="AE64" s="70"/>
      <c r="AF64" s="45"/>
      <c r="AG64" s="71"/>
      <c r="AH64" s="71"/>
      <c r="AI64" s="45"/>
      <c r="AJ64" s="45"/>
      <c r="AK64" s="45"/>
      <c r="AL64" s="45"/>
      <c r="AM64" s="45"/>
      <c r="AN64" s="45"/>
    </row>
    <row r="65">
      <c r="A65" s="45"/>
      <c r="B65" s="45"/>
      <c r="C65" s="45"/>
      <c r="D65" s="45"/>
      <c r="E65" s="45"/>
      <c r="F65" s="45"/>
      <c r="G65" s="69"/>
      <c r="H65" s="45"/>
      <c r="I65" s="45"/>
      <c r="J65" s="69"/>
      <c r="K65" s="45"/>
      <c r="L65" s="45"/>
      <c r="M65" s="45"/>
      <c r="N65" s="69"/>
      <c r="O65" s="45"/>
      <c r="P65" s="45"/>
      <c r="Q65" s="69"/>
      <c r="R65" s="45"/>
      <c r="S65" s="45"/>
      <c r="T65" s="69"/>
      <c r="U65" s="45"/>
      <c r="V65" s="45"/>
      <c r="W65" s="45"/>
      <c r="X65" s="45"/>
      <c r="Y65" s="69"/>
      <c r="Z65" s="45"/>
      <c r="AA65" s="45"/>
      <c r="AB65" s="70"/>
      <c r="AC65" s="70"/>
      <c r="AD65" s="70"/>
      <c r="AE65" s="70"/>
      <c r="AF65" s="45"/>
      <c r="AG65" s="71"/>
      <c r="AH65" s="71"/>
      <c r="AI65" s="45"/>
      <c r="AJ65" s="45"/>
      <c r="AK65" s="45"/>
      <c r="AL65" s="45"/>
      <c r="AM65" s="45"/>
      <c r="AN65" s="45"/>
    </row>
    <row r="66">
      <c r="A66" s="45"/>
      <c r="B66" s="45"/>
      <c r="C66" s="45"/>
      <c r="D66" s="45"/>
      <c r="E66" s="45"/>
      <c r="F66" s="45"/>
      <c r="G66" s="69"/>
      <c r="H66" s="45"/>
      <c r="I66" s="45"/>
      <c r="J66" s="69"/>
      <c r="K66" s="45"/>
      <c r="L66" s="45"/>
      <c r="M66" s="45"/>
      <c r="N66" s="69"/>
      <c r="O66" s="45"/>
      <c r="P66" s="45"/>
      <c r="Q66" s="69"/>
      <c r="R66" s="45"/>
      <c r="S66" s="45"/>
      <c r="T66" s="69"/>
      <c r="U66" s="45"/>
      <c r="V66" s="45"/>
      <c r="W66" s="45"/>
      <c r="X66" s="45"/>
      <c r="Y66" s="69"/>
      <c r="Z66" s="45"/>
      <c r="AA66" s="45"/>
      <c r="AB66" s="70"/>
      <c r="AC66" s="70"/>
      <c r="AD66" s="70"/>
      <c r="AE66" s="70"/>
      <c r="AF66" s="45"/>
      <c r="AG66" s="71"/>
      <c r="AH66" s="71"/>
      <c r="AI66" s="45"/>
      <c r="AJ66" s="45"/>
      <c r="AK66" s="45"/>
      <c r="AL66" s="45"/>
      <c r="AM66" s="45"/>
      <c r="AN66" s="45"/>
    </row>
    <row r="67">
      <c r="A67" s="45"/>
      <c r="B67" s="45"/>
      <c r="C67" s="45"/>
      <c r="D67" s="45"/>
      <c r="E67" s="45"/>
      <c r="F67" s="45"/>
      <c r="G67" s="69"/>
      <c r="H67" s="45"/>
      <c r="I67" s="45"/>
      <c r="J67" s="69"/>
      <c r="K67" s="45"/>
      <c r="L67" s="45"/>
      <c r="M67" s="45"/>
      <c r="N67" s="69"/>
      <c r="O67" s="45"/>
      <c r="P67" s="45"/>
      <c r="Q67" s="69"/>
      <c r="R67" s="45"/>
      <c r="S67" s="45"/>
      <c r="T67" s="69"/>
      <c r="U67" s="45"/>
      <c r="V67" s="45"/>
      <c r="W67" s="45"/>
      <c r="X67" s="45"/>
      <c r="Y67" s="69"/>
      <c r="Z67" s="45"/>
      <c r="AA67" s="45"/>
      <c r="AB67" s="70"/>
      <c r="AC67" s="70"/>
      <c r="AD67" s="70"/>
      <c r="AE67" s="70"/>
      <c r="AF67" s="45"/>
      <c r="AG67" s="71"/>
      <c r="AH67" s="71"/>
      <c r="AI67" s="45"/>
      <c r="AJ67" s="45"/>
      <c r="AK67" s="45"/>
      <c r="AL67" s="45"/>
      <c r="AM67" s="45"/>
      <c r="AN67" s="45"/>
    </row>
    <row r="68">
      <c r="A68" s="45"/>
      <c r="B68" s="45"/>
      <c r="C68" s="45"/>
      <c r="D68" s="45"/>
      <c r="E68" s="45"/>
      <c r="F68" s="45"/>
      <c r="G68" s="69"/>
      <c r="H68" s="45"/>
      <c r="I68" s="45"/>
      <c r="J68" s="69"/>
      <c r="K68" s="45"/>
      <c r="L68" s="45"/>
      <c r="M68" s="45"/>
      <c r="N68" s="69"/>
      <c r="O68" s="45"/>
      <c r="P68" s="45"/>
      <c r="Q68" s="69"/>
      <c r="R68" s="45"/>
      <c r="S68" s="45"/>
      <c r="T68" s="69"/>
      <c r="U68" s="45"/>
      <c r="V68" s="45"/>
      <c r="W68" s="45"/>
      <c r="X68" s="45"/>
      <c r="Y68" s="69"/>
      <c r="Z68" s="45"/>
      <c r="AA68" s="45"/>
      <c r="AB68" s="70"/>
      <c r="AC68" s="70"/>
      <c r="AD68" s="70"/>
      <c r="AE68" s="70"/>
      <c r="AF68" s="45"/>
      <c r="AG68" s="71"/>
      <c r="AH68" s="71"/>
      <c r="AI68" s="45"/>
      <c r="AJ68" s="45"/>
      <c r="AK68" s="45"/>
      <c r="AL68" s="45"/>
      <c r="AM68" s="45"/>
      <c r="AN68" s="45"/>
    </row>
    <row r="69">
      <c r="A69" s="45"/>
      <c r="B69" s="45"/>
      <c r="C69" s="45"/>
      <c r="D69" s="45"/>
      <c r="E69" s="45"/>
      <c r="F69" s="45"/>
      <c r="G69" s="69"/>
      <c r="H69" s="45"/>
      <c r="I69" s="45"/>
      <c r="J69" s="69"/>
      <c r="K69" s="45"/>
      <c r="L69" s="45"/>
      <c r="M69" s="45"/>
      <c r="N69" s="69"/>
      <c r="O69" s="45"/>
      <c r="P69" s="45"/>
      <c r="Q69" s="69"/>
      <c r="R69" s="45"/>
      <c r="S69" s="45"/>
      <c r="T69" s="69"/>
      <c r="U69" s="45"/>
      <c r="V69" s="45"/>
      <c r="W69" s="45"/>
      <c r="X69" s="45"/>
      <c r="Y69" s="69"/>
      <c r="Z69" s="45"/>
      <c r="AA69" s="45"/>
      <c r="AB69" s="70"/>
      <c r="AC69" s="70"/>
      <c r="AD69" s="70"/>
      <c r="AE69" s="70"/>
      <c r="AF69" s="45"/>
      <c r="AG69" s="71"/>
      <c r="AH69" s="71"/>
      <c r="AI69" s="45"/>
      <c r="AJ69" s="45"/>
      <c r="AK69" s="45"/>
      <c r="AL69" s="45"/>
      <c r="AM69" s="45"/>
      <c r="AN69" s="45"/>
    </row>
    <row r="70">
      <c r="A70" s="45"/>
      <c r="B70" s="45"/>
      <c r="C70" s="45"/>
      <c r="D70" s="45"/>
      <c r="E70" s="45"/>
      <c r="F70" s="45"/>
      <c r="G70" s="69"/>
      <c r="H70" s="45"/>
      <c r="I70" s="45"/>
      <c r="J70" s="69"/>
      <c r="K70" s="45"/>
      <c r="L70" s="45"/>
      <c r="M70" s="45"/>
      <c r="N70" s="69"/>
      <c r="O70" s="45"/>
      <c r="P70" s="45"/>
      <c r="Q70" s="69"/>
      <c r="R70" s="45"/>
      <c r="S70" s="45"/>
      <c r="T70" s="69"/>
      <c r="U70" s="45"/>
      <c r="V70" s="45"/>
      <c r="W70" s="45"/>
      <c r="X70" s="45"/>
      <c r="Y70" s="69"/>
      <c r="Z70" s="45"/>
      <c r="AA70" s="45"/>
      <c r="AB70" s="70"/>
      <c r="AC70" s="70"/>
      <c r="AD70" s="70"/>
      <c r="AE70" s="70"/>
      <c r="AF70" s="45"/>
      <c r="AG70" s="71"/>
      <c r="AH70" s="71"/>
      <c r="AI70" s="45"/>
      <c r="AJ70" s="45"/>
      <c r="AK70" s="45"/>
      <c r="AL70" s="45"/>
      <c r="AM70" s="45"/>
      <c r="AN70" s="45"/>
    </row>
    <row r="71">
      <c r="A71" s="45"/>
      <c r="B71" s="45"/>
      <c r="C71" s="45"/>
      <c r="D71" s="45"/>
      <c r="E71" s="45"/>
      <c r="F71" s="45"/>
      <c r="G71" s="69"/>
      <c r="H71" s="45"/>
      <c r="I71" s="45"/>
      <c r="J71" s="69"/>
      <c r="K71" s="45"/>
      <c r="L71" s="45"/>
      <c r="M71" s="45"/>
      <c r="N71" s="69"/>
      <c r="O71" s="45"/>
      <c r="P71" s="45"/>
      <c r="Q71" s="69"/>
      <c r="R71" s="45"/>
      <c r="S71" s="45"/>
      <c r="T71" s="69"/>
      <c r="U71" s="45"/>
      <c r="V71" s="45"/>
      <c r="W71" s="45"/>
      <c r="X71" s="45"/>
      <c r="Y71" s="69"/>
      <c r="Z71" s="45"/>
      <c r="AA71" s="45"/>
      <c r="AB71" s="70"/>
      <c r="AC71" s="70"/>
      <c r="AD71" s="70"/>
      <c r="AE71" s="70"/>
      <c r="AF71" s="45"/>
      <c r="AG71" s="71"/>
      <c r="AH71" s="71"/>
      <c r="AI71" s="45"/>
      <c r="AJ71" s="45"/>
      <c r="AK71" s="45"/>
      <c r="AL71" s="45"/>
      <c r="AM71" s="45"/>
      <c r="AN71" s="45"/>
    </row>
    <row r="72">
      <c r="A72" s="45"/>
      <c r="B72" s="45"/>
      <c r="C72" s="45"/>
      <c r="D72" s="45"/>
      <c r="E72" s="45"/>
      <c r="F72" s="45"/>
      <c r="G72" s="69"/>
      <c r="H72" s="45"/>
      <c r="I72" s="45"/>
      <c r="J72" s="69"/>
      <c r="K72" s="45"/>
      <c r="L72" s="45"/>
      <c r="M72" s="45"/>
      <c r="N72" s="69"/>
      <c r="O72" s="45"/>
      <c r="P72" s="45"/>
      <c r="Q72" s="69"/>
      <c r="R72" s="45"/>
      <c r="S72" s="45"/>
      <c r="T72" s="69"/>
      <c r="U72" s="45"/>
      <c r="V72" s="45"/>
      <c r="W72" s="45"/>
      <c r="X72" s="45"/>
      <c r="Y72" s="69"/>
      <c r="Z72" s="45"/>
      <c r="AA72" s="45"/>
      <c r="AB72" s="70"/>
      <c r="AC72" s="70"/>
      <c r="AD72" s="70"/>
      <c r="AE72" s="70"/>
      <c r="AF72" s="45"/>
      <c r="AG72" s="71"/>
      <c r="AH72" s="71"/>
      <c r="AI72" s="45"/>
      <c r="AJ72" s="45"/>
      <c r="AK72" s="45"/>
      <c r="AL72" s="45"/>
      <c r="AM72" s="45"/>
      <c r="AN72" s="45"/>
    </row>
    <row r="73">
      <c r="A73" s="45"/>
      <c r="B73" s="45"/>
      <c r="C73" s="45"/>
      <c r="D73" s="45"/>
      <c r="E73" s="45"/>
      <c r="F73" s="45"/>
      <c r="G73" s="69"/>
      <c r="H73" s="45"/>
      <c r="I73" s="45"/>
      <c r="J73" s="69"/>
      <c r="K73" s="45"/>
      <c r="L73" s="45"/>
      <c r="M73" s="45"/>
      <c r="N73" s="69"/>
      <c r="O73" s="45"/>
      <c r="P73" s="45"/>
      <c r="Q73" s="69"/>
      <c r="R73" s="45"/>
      <c r="S73" s="45"/>
      <c r="T73" s="69"/>
      <c r="U73" s="45"/>
      <c r="V73" s="45"/>
      <c r="W73" s="45"/>
      <c r="X73" s="45"/>
      <c r="Y73" s="69"/>
      <c r="Z73" s="45"/>
      <c r="AA73" s="45"/>
      <c r="AB73" s="70"/>
      <c r="AC73" s="70"/>
      <c r="AD73" s="70"/>
      <c r="AE73" s="70"/>
      <c r="AF73" s="45"/>
      <c r="AG73" s="71"/>
      <c r="AH73" s="71"/>
      <c r="AI73" s="45"/>
      <c r="AJ73" s="45"/>
      <c r="AK73" s="45"/>
      <c r="AL73" s="45"/>
      <c r="AM73" s="45"/>
      <c r="AN73" s="45"/>
    </row>
    <row r="74">
      <c r="A74" s="45"/>
      <c r="B74" s="45"/>
      <c r="C74" s="45"/>
      <c r="D74" s="45"/>
      <c r="E74" s="45"/>
      <c r="F74" s="45"/>
      <c r="G74" s="69"/>
      <c r="H74" s="45"/>
      <c r="I74" s="45"/>
      <c r="J74" s="69"/>
      <c r="K74" s="45"/>
      <c r="L74" s="45"/>
      <c r="M74" s="45"/>
      <c r="N74" s="69"/>
      <c r="O74" s="45"/>
      <c r="P74" s="45"/>
      <c r="Q74" s="69"/>
      <c r="R74" s="45"/>
      <c r="S74" s="45"/>
      <c r="T74" s="69"/>
      <c r="U74" s="45"/>
      <c r="V74" s="45"/>
      <c r="W74" s="45"/>
      <c r="X74" s="45"/>
      <c r="Y74" s="69"/>
      <c r="Z74" s="45"/>
      <c r="AA74" s="45"/>
      <c r="AB74" s="70"/>
      <c r="AC74" s="70"/>
      <c r="AD74" s="70"/>
      <c r="AE74" s="70"/>
      <c r="AF74" s="45"/>
      <c r="AG74" s="71"/>
      <c r="AH74" s="71"/>
      <c r="AI74" s="45"/>
      <c r="AJ74" s="45"/>
      <c r="AK74" s="45"/>
      <c r="AL74" s="45"/>
      <c r="AM74" s="45"/>
      <c r="AN74" s="45"/>
    </row>
    <row r="75">
      <c r="A75" s="45"/>
      <c r="B75" s="45"/>
      <c r="C75" s="45"/>
      <c r="D75" s="45"/>
      <c r="E75" s="45"/>
      <c r="F75" s="45"/>
      <c r="G75" s="69"/>
      <c r="H75" s="45"/>
      <c r="I75" s="45"/>
      <c r="J75" s="69"/>
      <c r="K75" s="45"/>
      <c r="L75" s="45"/>
      <c r="M75" s="45"/>
      <c r="N75" s="69"/>
      <c r="O75" s="45"/>
      <c r="P75" s="45"/>
      <c r="Q75" s="69"/>
      <c r="R75" s="45"/>
      <c r="S75" s="45"/>
      <c r="T75" s="69"/>
      <c r="U75" s="45"/>
      <c r="V75" s="45"/>
      <c r="W75" s="45"/>
      <c r="X75" s="45"/>
      <c r="Y75" s="69"/>
      <c r="Z75" s="45"/>
      <c r="AA75" s="45"/>
      <c r="AB75" s="70"/>
      <c r="AC75" s="70"/>
      <c r="AD75" s="70"/>
      <c r="AE75" s="70"/>
      <c r="AF75" s="45"/>
      <c r="AG75" s="71"/>
      <c r="AH75" s="71"/>
      <c r="AI75" s="45"/>
      <c r="AJ75" s="45"/>
      <c r="AK75" s="45"/>
      <c r="AL75" s="45"/>
      <c r="AM75" s="45"/>
      <c r="AN75" s="45"/>
    </row>
    <row r="76">
      <c r="A76" s="45"/>
      <c r="B76" s="45"/>
      <c r="C76" s="45"/>
      <c r="D76" s="45"/>
      <c r="E76" s="45"/>
      <c r="F76" s="45"/>
      <c r="G76" s="69"/>
      <c r="H76" s="45"/>
      <c r="I76" s="45"/>
      <c r="J76" s="69"/>
      <c r="K76" s="45"/>
      <c r="L76" s="45"/>
      <c r="M76" s="45"/>
      <c r="N76" s="69"/>
      <c r="O76" s="45"/>
      <c r="P76" s="45"/>
      <c r="Q76" s="69"/>
      <c r="R76" s="45"/>
      <c r="S76" s="45"/>
      <c r="T76" s="69"/>
      <c r="U76" s="45"/>
      <c r="V76" s="45"/>
      <c r="W76" s="45"/>
      <c r="X76" s="45"/>
      <c r="Y76" s="69"/>
      <c r="Z76" s="45"/>
      <c r="AA76" s="45"/>
      <c r="AB76" s="70"/>
      <c r="AC76" s="70"/>
      <c r="AD76" s="70"/>
      <c r="AE76" s="70"/>
      <c r="AF76" s="45"/>
      <c r="AG76" s="71"/>
      <c r="AH76" s="71"/>
      <c r="AI76" s="45"/>
      <c r="AJ76" s="45"/>
      <c r="AK76" s="45"/>
      <c r="AL76" s="45"/>
      <c r="AM76" s="45"/>
      <c r="AN76" s="45"/>
    </row>
    <row r="77">
      <c r="A77" s="45"/>
      <c r="B77" s="45"/>
      <c r="C77" s="45"/>
      <c r="D77" s="45"/>
      <c r="E77" s="45"/>
      <c r="F77" s="45"/>
      <c r="G77" s="69"/>
      <c r="H77" s="45"/>
      <c r="I77" s="45"/>
      <c r="J77" s="69"/>
      <c r="K77" s="45"/>
      <c r="L77" s="45"/>
      <c r="M77" s="45"/>
      <c r="N77" s="69"/>
      <c r="O77" s="45"/>
      <c r="P77" s="45"/>
      <c r="Q77" s="69"/>
      <c r="R77" s="45"/>
      <c r="S77" s="45"/>
      <c r="T77" s="69"/>
      <c r="U77" s="45"/>
      <c r="V77" s="45"/>
      <c r="W77" s="45"/>
      <c r="X77" s="45"/>
      <c r="Y77" s="69"/>
      <c r="Z77" s="45"/>
      <c r="AA77" s="45"/>
      <c r="AB77" s="70"/>
      <c r="AC77" s="70"/>
      <c r="AD77" s="70"/>
      <c r="AE77" s="70"/>
      <c r="AF77" s="45"/>
      <c r="AG77" s="71"/>
      <c r="AH77" s="71"/>
      <c r="AI77" s="45"/>
      <c r="AJ77" s="45"/>
      <c r="AK77" s="45"/>
      <c r="AL77" s="45"/>
      <c r="AM77" s="45"/>
      <c r="AN77" s="45"/>
    </row>
    <row r="78">
      <c r="A78" s="45"/>
      <c r="B78" s="45"/>
      <c r="C78" s="45"/>
      <c r="D78" s="45"/>
      <c r="E78" s="45"/>
      <c r="F78" s="45"/>
      <c r="G78" s="69"/>
      <c r="H78" s="45"/>
      <c r="I78" s="45"/>
      <c r="J78" s="69"/>
      <c r="K78" s="45"/>
      <c r="L78" s="45"/>
      <c r="M78" s="45"/>
      <c r="N78" s="69"/>
      <c r="O78" s="45"/>
      <c r="P78" s="45"/>
      <c r="Q78" s="69"/>
      <c r="R78" s="45"/>
      <c r="S78" s="45"/>
      <c r="T78" s="69"/>
      <c r="U78" s="45"/>
      <c r="V78" s="45"/>
      <c r="W78" s="45"/>
      <c r="X78" s="45"/>
      <c r="Y78" s="69"/>
      <c r="Z78" s="45"/>
      <c r="AA78" s="45"/>
      <c r="AB78" s="70"/>
      <c r="AC78" s="70"/>
      <c r="AD78" s="70"/>
      <c r="AE78" s="70"/>
      <c r="AF78" s="45"/>
      <c r="AG78" s="71"/>
      <c r="AH78" s="71"/>
      <c r="AI78" s="45"/>
      <c r="AJ78" s="45"/>
      <c r="AK78" s="45"/>
      <c r="AL78" s="45"/>
      <c r="AM78" s="45"/>
      <c r="AN78" s="45"/>
    </row>
    <row r="79">
      <c r="A79" s="45"/>
      <c r="B79" s="45"/>
      <c r="C79" s="45"/>
      <c r="D79" s="45"/>
      <c r="E79" s="45"/>
      <c r="F79" s="45"/>
      <c r="G79" s="69"/>
      <c r="H79" s="45"/>
      <c r="I79" s="45"/>
      <c r="J79" s="69"/>
      <c r="K79" s="45"/>
      <c r="L79" s="45"/>
      <c r="M79" s="45"/>
      <c r="N79" s="69"/>
      <c r="O79" s="45"/>
      <c r="P79" s="45"/>
      <c r="Q79" s="69"/>
      <c r="R79" s="45"/>
      <c r="S79" s="45"/>
      <c r="T79" s="69"/>
      <c r="U79" s="45"/>
      <c r="V79" s="45"/>
      <c r="W79" s="45"/>
      <c r="X79" s="45"/>
      <c r="Y79" s="69"/>
      <c r="Z79" s="45"/>
      <c r="AA79" s="45"/>
      <c r="AB79" s="70"/>
      <c r="AC79" s="70"/>
      <c r="AD79" s="70"/>
      <c r="AE79" s="70"/>
      <c r="AF79" s="45"/>
      <c r="AG79" s="71"/>
      <c r="AH79" s="71"/>
      <c r="AI79" s="45"/>
      <c r="AJ79" s="45"/>
      <c r="AK79" s="45"/>
      <c r="AL79" s="45"/>
      <c r="AM79" s="45"/>
      <c r="AN79" s="45"/>
    </row>
    <row r="80">
      <c r="A80" s="45"/>
      <c r="B80" s="45"/>
      <c r="C80" s="45"/>
      <c r="D80" s="45"/>
      <c r="E80" s="45"/>
      <c r="F80" s="45"/>
      <c r="G80" s="69"/>
      <c r="H80" s="45"/>
      <c r="I80" s="45"/>
      <c r="J80" s="69"/>
      <c r="K80" s="45"/>
      <c r="L80" s="45"/>
      <c r="M80" s="45"/>
      <c r="N80" s="69"/>
      <c r="O80" s="45"/>
      <c r="P80" s="45"/>
      <c r="Q80" s="69"/>
      <c r="R80" s="45"/>
      <c r="S80" s="45"/>
      <c r="T80" s="69"/>
      <c r="U80" s="45"/>
      <c r="V80" s="45"/>
      <c r="W80" s="45"/>
      <c r="X80" s="45"/>
      <c r="Y80" s="69"/>
      <c r="Z80" s="45"/>
      <c r="AA80" s="45"/>
      <c r="AB80" s="70"/>
      <c r="AC80" s="70"/>
      <c r="AD80" s="70"/>
      <c r="AE80" s="70"/>
      <c r="AF80" s="45"/>
      <c r="AG80" s="71"/>
      <c r="AH80" s="71"/>
      <c r="AI80" s="45"/>
      <c r="AJ80" s="45"/>
      <c r="AK80" s="45"/>
      <c r="AL80" s="45"/>
      <c r="AM80" s="45"/>
      <c r="AN80" s="45"/>
    </row>
    <row r="81">
      <c r="A81" s="45"/>
      <c r="B81" s="45"/>
      <c r="C81" s="45"/>
      <c r="D81" s="45"/>
      <c r="E81" s="45"/>
      <c r="F81" s="45"/>
      <c r="G81" s="69"/>
      <c r="H81" s="45"/>
      <c r="I81" s="45"/>
      <c r="J81" s="69"/>
      <c r="K81" s="45"/>
      <c r="L81" s="45"/>
      <c r="M81" s="45"/>
      <c r="N81" s="69"/>
      <c r="O81" s="45"/>
      <c r="P81" s="45"/>
      <c r="Q81" s="69"/>
      <c r="R81" s="45"/>
      <c r="S81" s="45"/>
      <c r="T81" s="69"/>
      <c r="U81" s="45"/>
      <c r="V81" s="45"/>
      <c r="W81" s="45"/>
      <c r="X81" s="45"/>
      <c r="Y81" s="69"/>
      <c r="Z81" s="45"/>
      <c r="AA81" s="45"/>
      <c r="AB81" s="70"/>
      <c r="AC81" s="70"/>
      <c r="AD81" s="70"/>
      <c r="AE81" s="70"/>
      <c r="AF81" s="45"/>
      <c r="AG81" s="71"/>
      <c r="AH81" s="71"/>
      <c r="AI81" s="45"/>
      <c r="AJ81" s="45"/>
      <c r="AK81" s="45"/>
      <c r="AL81" s="45"/>
      <c r="AM81" s="45"/>
      <c r="AN81" s="45"/>
    </row>
    <row r="82">
      <c r="A82" s="45"/>
      <c r="B82" s="45"/>
      <c r="C82" s="45"/>
      <c r="D82" s="45"/>
      <c r="E82" s="45"/>
      <c r="F82" s="45"/>
      <c r="G82" s="69"/>
      <c r="H82" s="45"/>
      <c r="I82" s="45"/>
      <c r="J82" s="69"/>
      <c r="K82" s="45"/>
      <c r="L82" s="45"/>
      <c r="M82" s="45"/>
      <c r="N82" s="69"/>
      <c r="O82" s="45"/>
      <c r="P82" s="45"/>
      <c r="Q82" s="69"/>
      <c r="R82" s="45"/>
      <c r="S82" s="45"/>
      <c r="T82" s="69"/>
      <c r="U82" s="45"/>
      <c r="V82" s="45"/>
      <c r="W82" s="45"/>
      <c r="X82" s="45"/>
      <c r="Y82" s="69"/>
      <c r="Z82" s="45"/>
      <c r="AA82" s="45"/>
      <c r="AB82" s="70"/>
      <c r="AC82" s="70"/>
      <c r="AD82" s="70"/>
      <c r="AE82" s="70"/>
      <c r="AF82" s="45"/>
      <c r="AG82" s="71"/>
      <c r="AH82" s="71"/>
      <c r="AI82" s="45"/>
      <c r="AJ82" s="45"/>
      <c r="AK82" s="45"/>
      <c r="AL82" s="45"/>
      <c r="AM82" s="45"/>
      <c r="AN82" s="45"/>
    </row>
    <row r="83">
      <c r="A83" s="45"/>
      <c r="B83" s="45"/>
      <c r="C83" s="45"/>
      <c r="D83" s="45"/>
      <c r="E83" s="45"/>
      <c r="F83" s="45"/>
      <c r="G83" s="69"/>
      <c r="H83" s="45"/>
      <c r="I83" s="45"/>
      <c r="J83" s="69"/>
      <c r="K83" s="45"/>
      <c r="L83" s="45"/>
      <c r="M83" s="45"/>
      <c r="N83" s="69"/>
      <c r="O83" s="45"/>
      <c r="P83" s="45"/>
      <c r="Q83" s="69"/>
      <c r="R83" s="45"/>
      <c r="S83" s="45"/>
      <c r="T83" s="69"/>
      <c r="U83" s="45"/>
      <c r="V83" s="45"/>
      <c r="W83" s="45"/>
      <c r="X83" s="45"/>
      <c r="Y83" s="69"/>
      <c r="Z83" s="45"/>
      <c r="AA83" s="45"/>
      <c r="AB83" s="70"/>
      <c r="AC83" s="70"/>
      <c r="AD83" s="70"/>
      <c r="AE83" s="70"/>
      <c r="AF83" s="45"/>
      <c r="AG83" s="71"/>
      <c r="AH83" s="71"/>
      <c r="AI83" s="45"/>
      <c r="AJ83" s="45"/>
      <c r="AK83" s="45"/>
      <c r="AL83" s="45"/>
      <c r="AM83" s="45"/>
      <c r="AN83" s="45"/>
    </row>
    <row r="84">
      <c r="A84" s="45"/>
      <c r="B84" s="45"/>
      <c r="C84" s="45"/>
      <c r="D84" s="45"/>
      <c r="E84" s="45"/>
      <c r="F84" s="45"/>
      <c r="G84" s="69"/>
      <c r="H84" s="45"/>
      <c r="I84" s="45"/>
      <c r="J84" s="69"/>
      <c r="K84" s="45"/>
      <c r="L84" s="45"/>
      <c r="M84" s="45"/>
      <c r="N84" s="69"/>
      <c r="O84" s="45"/>
      <c r="P84" s="45"/>
      <c r="Q84" s="69"/>
      <c r="R84" s="45"/>
      <c r="S84" s="45"/>
      <c r="T84" s="69"/>
      <c r="U84" s="45"/>
      <c r="V84" s="45"/>
      <c r="W84" s="45"/>
      <c r="X84" s="45"/>
      <c r="Y84" s="69"/>
      <c r="Z84" s="45"/>
      <c r="AA84" s="45"/>
      <c r="AB84" s="70"/>
      <c r="AC84" s="70"/>
      <c r="AD84" s="70"/>
      <c r="AE84" s="70"/>
      <c r="AF84" s="45"/>
      <c r="AG84" s="71"/>
      <c r="AH84" s="71"/>
      <c r="AI84" s="45"/>
      <c r="AJ84" s="45"/>
      <c r="AK84" s="45"/>
      <c r="AL84" s="45"/>
      <c r="AM84" s="45"/>
      <c r="AN84" s="45"/>
    </row>
    <row r="85">
      <c r="A85" s="45"/>
      <c r="B85" s="45"/>
      <c r="C85" s="45"/>
      <c r="D85" s="45"/>
      <c r="E85" s="45"/>
      <c r="F85" s="45"/>
      <c r="G85" s="69"/>
      <c r="H85" s="45"/>
      <c r="I85" s="45"/>
      <c r="J85" s="69"/>
      <c r="K85" s="45"/>
      <c r="L85" s="45"/>
      <c r="M85" s="45"/>
      <c r="N85" s="69"/>
      <c r="O85" s="45"/>
      <c r="P85" s="45"/>
      <c r="Q85" s="69"/>
      <c r="R85" s="45"/>
      <c r="S85" s="45"/>
      <c r="T85" s="69"/>
      <c r="U85" s="45"/>
      <c r="V85" s="45"/>
      <c r="W85" s="45"/>
      <c r="X85" s="45"/>
      <c r="Y85" s="69"/>
      <c r="Z85" s="45"/>
      <c r="AA85" s="45"/>
      <c r="AB85" s="70"/>
      <c r="AC85" s="70"/>
      <c r="AD85" s="70"/>
      <c r="AE85" s="70"/>
      <c r="AF85" s="45"/>
      <c r="AG85" s="71"/>
      <c r="AH85" s="71"/>
      <c r="AI85" s="45"/>
      <c r="AJ85" s="45"/>
      <c r="AK85" s="45"/>
      <c r="AL85" s="45"/>
      <c r="AM85" s="45"/>
      <c r="AN85" s="45"/>
    </row>
    <row r="86">
      <c r="A86" s="45"/>
      <c r="B86" s="45"/>
      <c r="C86" s="45"/>
      <c r="D86" s="45"/>
      <c r="E86" s="45"/>
      <c r="F86" s="45"/>
      <c r="G86" s="69"/>
      <c r="H86" s="45"/>
      <c r="I86" s="45"/>
      <c r="J86" s="69"/>
      <c r="K86" s="45"/>
      <c r="L86" s="45"/>
      <c r="M86" s="45"/>
      <c r="N86" s="69"/>
      <c r="O86" s="45"/>
      <c r="P86" s="45"/>
      <c r="Q86" s="69"/>
      <c r="R86" s="45"/>
      <c r="S86" s="45"/>
      <c r="T86" s="69"/>
      <c r="U86" s="45"/>
      <c r="V86" s="45"/>
      <c r="W86" s="45"/>
      <c r="X86" s="45"/>
      <c r="Y86" s="69"/>
      <c r="Z86" s="45"/>
      <c r="AA86" s="45"/>
      <c r="AB86" s="70"/>
      <c r="AC86" s="70"/>
      <c r="AD86" s="70"/>
      <c r="AE86" s="70"/>
      <c r="AF86" s="45"/>
      <c r="AG86" s="71"/>
      <c r="AH86" s="71"/>
      <c r="AI86" s="45"/>
      <c r="AJ86" s="45"/>
      <c r="AK86" s="45"/>
      <c r="AL86" s="45"/>
      <c r="AM86" s="45"/>
      <c r="AN86" s="45"/>
    </row>
    <row r="87">
      <c r="A87" s="45"/>
      <c r="B87" s="45"/>
      <c r="C87" s="45"/>
      <c r="D87" s="45"/>
      <c r="E87" s="45"/>
      <c r="F87" s="45"/>
      <c r="G87" s="69"/>
      <c r="H87" s="45"/>
      <c r="I87" s="45"/>
      <c r="J87" s="69"/>
      <c r="K87" s="45"/>
      <c r="L87" s="45"/>
      <c r="M87" s="45"/>
      <c r="N87" s="69"/>
      <c r="O87" s="45"/>
      <c r="P87" s="45"/>
      <c r="Q87" s="69"/>
      <c r="R87" s="45"/>
      <c r="S87" s="45"/>
      <c r="T87" s="69"/>
      <c r="U87" s="45"/>
      <c r="V87" s="45"/>
      <c r="W87" s="45"/>
      <c r="X87" s="45"/>
      <c r="Y87" s="69"/>
      <c r="Z87" s="45"/>
      <c r="AA87" s="45"/>
      <c r="AB87" s="70"/>
      <c r="AC87" s="70"/>
      <c r="AD87" s="70"/>
      <c r="AE87" s="70"/>
      <c r="AF87" s="45"/>
      <c r="AG87" s="71"/>
      <c r="AH87" s="71"/>
      <c r="AI87" s="45"/>
      <c r="AJ87" s="45"/>
      <c r="AK87" s="45"/>
      <c r="AL87" s="45"/>
      <c r="AM87" s="45"/>
      <c r="AN87" s="45"/>
    </row>
    <row r="88">
      <c r="A88" s="45"/>
      <c r="B88" s="45"/>
      <c r="C88" s="45"/>
      <c r="D88" s="45"/>
      <c r="E88" s="45"/>
      <c r="F88" s="45"/>
      <c r="G88" s="69"/>
      <c r="H88" s="45"/>
      <c r="I88" s="45"/>
      <c r="J88" s="69"/>
      <c r="K88" s="45"/>
      <c r="L88" s="45"/>
      <c r="M88" s="45"/>
      <c r="N88" s="69"/>
      <c r="O88" s="45"/>
      <c r="P88" s="45"/>
      <c r="Q88" s="69"/>
      <c r="R88" s="45"/>
      <c r="S88" s="45"/>
      <c r="T88" s="69"/>
      <c r="U88" s="45"/>
      <c r="V88" s="45"/>
      <c r="W88" s="45"/>
      <c r="X88" s="45"/>
      <c r="Y88" s="69"/>
      <c r="Z88" s="45"/>
      <c r="AA88" s="45"/>
      <c r="AB88" s="70"/>
      <c r="AC88" s="70"/>
      <c r="AD88" s="70"/>
      <c r="AE88" s="70"/>
      <c r="AF88" s="45"/>
      <c r="AG88" s="71"/>
      <c r="AH88" s="71"/>
      <c r="AI88" s="45"/>
      <c r="AJ88" s="45"/>
      <c r="AK88" s="45"/>
      <c r="AL88" s="45"/>
      <c r="AM88" s="45"/>
      <c r="AN88" s="45"/>
    </row>
    <row r="89">
      <c r="A89" s="45"/>
      <c r="B89" s="45"/>
      <c r="C89" s="45"/>
      <c r="D89" s="45"/>
      <c r="E89" s="45"/>
      <c r="F89" s="45"/>
      <c r="G89" s="69"/>
      <c r="H89" s="45"/>
      <c r="I89" s="45"/>
      <c r="J89" s="69"/>
      <c r="K89" s="45"/>
      <c r="L89" s="45"/>
      <c r="M89" s="45"/>
      <c r="N89" s="69"/>
      <c r="O89" s="45"/>
      <c r="P89" s="45"/>
      <c r="Q89" s="69"/>
      <c r="R89" s="45"/>
      <c r="S89" s="45"/>
      <c r="T89" s="69"/>
      <c r="U89" s="45"/>
      <c r="V89" s="45"/>
      <c r="W89" s="45"/>
      <c r="X89" s="45"/>
      <c r="Y89" s="69"/>
      <c r="Z89" s="45"/>
      <c r="AA89" s="45"/>
      <c r="AB89" s="70"/>
      <c r="AC89" s="70"/>
      <c r="AD89" s="70"/>
      <c r="AE89" s="70"/>
      <c r="AF89" s="45"/>
      <c r="AG89" s="71"/>
      <c r="AH89" s="71"/>
      <c r="AI89" s="45"/>
      <c r="AJ89" s="45"/>
      <c r="AK89" s="45"/>
      <c r="AL89" s="45"/>
      <c r="AM89" s="45"/>
      <c r="AN89" s="45"/>
    </row>
    <row r="90">
      <c r="A90" s="45"/>
      <c r="B90" s="45"/>
      <c r="C90" s="45"/>
      <c r="D90" s="45"/>
      <c r="E90" s="45"/>
      <c r="F90" s="45"/>
      <c r="G90" s="69"/>
      <c r="H90" s="45"/>
      <c r="I90" s="45"/>
      <c r="J90" s="69"/>
      <c r="K90" s="45"/>
      <c r="L90" s="45"/>
      <c r="M90" s="45"/>
      <c r="N90" s="69"/>
      <c r="O90" s="45"/>
      <c r="P90" s="45"/>
      <c r="Q90" s="69"/>
      <c r="R90" s="45"/>
      <c r="S90" s="45"/>
      <c r="T90" s="69"/>
      <c r="U90" s="45"/>
      <c r="V90" s="45"/>
      <c r="W90" s="45"/>
      <c r="X90" s="45"/>
      <c r="Y90" s="69"/>
      <c r="Z90" s="45"/>
      <c r="AA90" s="45"/>
      <c r="AB90" s="70"/>
      <c r="AC90" s="70"/>
      <c r="AD90" s="70"/>
      <c r="AE90" s="70"/>
      <c r="AF90" s="45"/>
      <c r="AG90" s="71"/>
      <c r="AH90" s="71"/>
      <c r="AI90" s="45"/>
      <c r="AJ90" s="45"/>
      <c r="AK90" s="45"/>
      <c r="AL90" s="45"/>
      <c r="AM90" s="45"/>
      <c r="AN90" s="45"/>
    </row>
    <row r="91">
      <c r="A91" s="45"/>
      <c r="B91" s="45"/>
      <c r="C91" s="45"/>
      <c r="D91" s="45"/>
      <c r="E91" s="45"/>
      <c r="F91" s="45"/>
      <c r="G91" s="69"/>
      <c r="H91" s="45"/>
      <c r="I91" s="45"/>
      <c r="J91" s="69"/>
      <c r="K91" s="45"/>
      <c r="L91" s="45"/>
      <c r="M91" s="45"/>
      <c r="N91" s="69"/>
      <c r="O91" s="45"/>
      <c r="P91" s="45"/>
      <c r="Q91" s="69"/>
      <c r="R91" s="45"/>
      <c r="S91" s="45"/>
      <c r="T91" s="69"/>
      <c r="U91" s="45"/>
      <c r="V91" s="45"/>
      <c r="W91" s="45"/>
      <c r="X91" s="45"/>
      <c r="Y91" s="69"/>
      <c r="Z91" s="45"/>
      <c r="AA91" s="45"/>
      <c r="AB91" s="70"/>
      <c r="AC91" s="70"/>
      <c r="AD91" s="70"/>
      <c r="AE91" s="70"/>
      <c r="AF91" s="45"/>
      <c r="AG91" s="71"/>
      <c r="AH91" s="71"/>
      <c r="AI91" s="45"/>
      <c r="AJ91" s="45"/>
      <c r="AK91" s="45"/>
      <c r="AL91" s="45"/>
      <c r="AM91" s="45"/>
      <c r="AN91" s="45"/>
    </row>
    <row r="92">
      <c r="A92" s="45"/>
      <c r="B92" s="45"/>
      <c r="C92" s="45"/>
      <c r="D92" s="45"/>
      <c r="E92" s="45"/>
      <c r="F92" s="45"/>
      <c r="G92" s="69"/>
      <c r="H92" s="45"/>
      <c r="I92" s="45"/>
      <c r="J92" s="69"/>
      <c r="K92" s="45"/>
      <c r="L92" s="45"/>
      <c r="M92" s="45"/>
      <c r="N92" s="69"/>
      <c r="O92" s="45"/>
      <c r="P92" s="45"/>
      <c r="Q92" s="69"/>
      <c r="R92" s="45"/>
      <c r="S92" s="45"/>
      <c r="T92" s="69"/>
      <c r="U92" s="45"/>
      <c r="V92" s="45"/>
      <c r="W92" s="45"/>
      <c r="X92" s="45"/>
      <c r="Y92" s="69"/>
      <c r="Z92" s="45"/>
      <c r="AA92" s="45"/>
      <c r="AB92" s="70"/>
      <c r="AC92" s="70"/>
      <c r="AD92" s="70"/>
      <c r="AE92" s="70"/>
      <c r="AF92" s="45"/>
      <c r="AG92" s="71"/>
      <c r="AH92" s="71"/>
      <c r="AI92" s="45"/>
      <c r="AJ92" s="45"/>
      <c r="AK92" s="45"/>
      <c r="AL92" s="45"/>
      <c r="AM92" s="45"/>
      <c r="AN92" s="45"/>
    </row>
    <row r="93">
      <c r="A93" s="45"/>
      <c r="B93" s="45"/>
      <c r="C93" s="45"/>
      <c r="D93" s="45"/>
      <c r="E93" s="45"/>
      <c r="F93" s="45"/>
      <c r="G93" s="69"/>
      <c r="H93" s="45"/>
      <c r="I93" s="45"/>
      <c r="J93" s="69"/>
      <c r="K93" s="45"/>
      <c r="L93" s="45"/>
      <c r="M93" s="45"/>
      <c r="N93" s="69"/>
      <c r="O93" s="45"/>
      <c r="P93" s="45"/>
      <c r="Q93" s="69"/>
      <c r="R93" s="45"/>
      <c r="S93" s="45"/>
      <c r="T93" s="69"/>
      <c r="U93" s="45"/>
      <c r="V93" s="45"/>
      <c r="W93" s="45"/>
      <c r="X93" s="45"/>
      <c r="Y93" s="69"/>
      <c r="Z93" s="45"/>
      <c r="AA93" s="45"/>
      <c r="AB93" s="70"/>
      <c r="AC93" s="70"/>
      <c r="AD93" s="70"/>
      <c r="AE93" s="70"/>
      <c r="AF93" s="45"/>
      <c r="AG93" s="71"/>
      <c r="AH93" s="71"/>
      <c r="AI93" s="45"/>
      <c r="AJ93" s="45"/>
      <c r="AK93" s="45"/>
      <c r="AL93" s="45"/>
      <c r="AM93" s="45"/>
      <c r="AN93" s="45"/>
    </row>
    <row r="94">
      <c r="A94" s="45"/>
      <c r="B94" s="45"/>
      <c r="C94" s="45"/>
      <c r="D94" s="45"/>
      <c r="E94" s="45"/>
      <c r="F94" s="45"/>
      <c r="G94" s="69"/>
      <c r="H94" s="45"/>
      <c r="I94" s="45"/>
      <c r="J94" s="69"/>
      <c r="K94" s="45"/>
      <c r="L94" s="45"/>
      <c r="M94" s="45"/>
      <c r="N94" s="69"/>
      <c r="O94" s="45"/>
      <c r="P94" s="45"/>
      <c r="Q94" s="69"/>
      <c r="R94" s="45"/>
      <c r="S94" s="45"/>
      <c r="T94" s="69"/>
      <c r="U94" s="45"/>
      <c r="V94" s="45"/>
      <c r="W94" s="45"/>
      <c r="X94" s="45"/>
      <c r="Y94" s="69"/>
      <c r="Z94" s="45"/>
      <c r="AA94" s="45"/>
      <c r="AB94" s="70"/>
      <c r="AC94" s="70"/>
      <c r="AD94" s="70"/>
      <c r="AE94" s="70"/>
      <c r="AF94" s="45"/>
      <c r="AG94" s="71"/>
      <c r="AH94" s="71"/>
      <c r="AI94" s="45"/>
      <c r="AJ94" s="45"/>
      <c r="AK94" s="45"/>
      <c r="AL94" s="45"/>
      <c r="AM94" s="45"/>
      <c r="AN94" s="45"/>
    </row>
    <row r="95">
      <c r="A95" s="45"/>
      <c r="B95" s="45"/>
      <c r="C95" s="45"/>
      <c r="D95" s="45"/>
      <c r="E95" s="45"/>
      <c r="F95" s="45"/>
      <c r="G95" s="69"/>
      <c r="H95" s="45"/>
      <c r="I95" s="45"/>
      <c r="J95" s="69"/>
      <c r="K95" s="45"/>
      <c r="L95" s="45"/>
      <c r="M95" s="45"/>
      <c r="N95" s="69"/>
      <c r="O95" s="45"/>
      <c r="P95" s="45"/>
      <c r="Q95" s="69"/>
      <c r="R95" s="45"/>
      <c r="S95" s="45"/>
      <c r="T95" s="69"/>
      <c r="U95" s="45"/>
      <c r="V95" s="45"/>
      <c r="W95" s="45"/>
      <c r="X95" s="45"/>
      <c r="Y95" s="69"/>
      <c r="Z95" s="45"/>
      <c r="AA95" s="45"/>
      <c r="AB95" s="70"/>
      <c r="AC95" s="70"/>
      <c r="AD95" s="70"/>
      <c r="AE95" s="70"/>
      <c r="AF95" s="45"/>
      <c r="AG95" s="71"/>
      <c r="AH95" s="71"/>
      <c r="AI95" s="45"/>
      <c r="AJ95" s="45"/>
      <c r="AK95" s="45"/>
      <c r="AL95" s="45"/>
      <c r="AM95" s="45"/>
      <c r="AN95" s="45"/>
    </row>
    <row r="96">
      <c r="A96" s="45"/>
      <c r="B96" s="45"/>
      <c r="C96" s="45"/>
      <c r="D96" s="45"/>
      <c r="E96" s="45"/>
      <c r="F96" s="45"/>
      <c r="G96" s="69"/>
      <c r="H96" s="45"/>
      <c r="I96" s="45"/>
      <c r="J96" s="69"/>
      <c r="K96" s="45"/>
      <c r="L96" s="45"/>
      <c r="M96" s="45"/>
      <c r="N96" s="69"/>
      <c r="O96" s="45"/>
      <c r="P96" s="45"/>
      <c r="Q96" s="69"/>
      <c r="R96" s="45"/>
      <c r="S96" s="45"/>
      <c r="T96" s="69"/>
      <c r="U96" s="45"/>
      <c r="V96" s="45"/>
      <c r="W96" s="45"/>
      <c r="X96" s="45"/>
      <c r="Y96" s="69"/>
      <c r="Z96" s="45"/>
      <c r="AA96" s="45"/>
      <c r="AB96" s="70"/>
      <c r="AC96" s="70"/>
      <c r="AD96" s="70"/>
      <c r="AE96" s="70"/>
      <c r="AF96" s="45"/>
      <c r="AG96" s="71"/>
      <c r="AH96" s="71"/>
      <c r="AI96" s="45"/>
      <c r="AJ96" s="45"/>
      <c r="AK96" s="45"/>
      <c r="AL96" s="45"/>
      <c r="AM96" s="45"/>
      <c r="AN96" s="45"/>
    </row>
    <row r="97">
      <c r="A97" s="45"/>
      <c r="B97" s="45"/>
      <c r="C97" s="45"/>
      <c r="D97" s="45"/>
      <c r="E97" s="45"/>
      <c r="F97" s="45"/>
      <c r="G97" s="69"/>
      <c r="H97" s="45"/>
      <c r="I97" s="45"/>
      <c r="J97" s="69"/>
      <c r="K97" s="45"/>
      <c r="L97" s="45"/>
      <c r="M97" s="45"/>
      <c r="N97" s="69"/>
      <c r="O97" s="45"/>
      <c r="P97" s="45"/>
      <c r="Q97" s="69"/>
      <c r="R97" s="45"/>
      <c r="S97" s="45"/>
      <c r="T97" s="69"/>
      <c r="U97" s="45"/>
      <c r="V97" s="45"/>
      <c r="W97" s="45"/>
      <c r="X97" s="45"/>
      <c r="Y97" s="69"/>
      <c r="Z97" s="45"/>
      <c r="AA97" s="45"/>
      <c r="AB97" s="70"/>
      <c r="AC97" s="70"/>
      <c r="AD97" s="70"/>
      <c r="AE97" s="70"/>
      <c r="AF97" s="45"/>
      <c r="AG97" s="71"/>
      <c r="AH97" s="71"/>
      <c r="AI97" s="45"/>
      <c r="AJ97" s="45"/>
      <c r="AK97" s="45"/>
      <c r="AL97" s="45"/>
      <c r="AM97" s="45"/>
      <c r="AN97" s="45"/>
    </row>
    <row r="98">
      <c r="A98" s="45"/>
      <c r="B98" s="45"/>
      <c r="C98" s="45"/>
      <c r="D98" s="45"/>
      <c r="E98" s="45"/>
      <c r="F98" s="45"/>
      <c r="G98" s="69"/>
      <c r="H98" s="45"/>
      <c r="I98" s="45"/>
      <c r="J98" s="69"/>
      <c r="K98" s="45"/>
      <c r="L98" s="45"/>
      <c r="M98" s="45"/>
      <c r="N98" s="69"/>
      <c r="O98" s="45"/>
      <c r="P98" s="45"/>
      <c r="Q98" s="69"/>
      <c r="R98" s="45"/>
      <c r="S98" s="45"/>
      <c r="T98" s="69"/>
      <c r="U98" s="45"/>
      <c r="V98" s="45"/>
      <c r="W98" s="45"/>
      <c r="X98" s="45"/>
      <c r="Y98" s="69"/>
      <c r="Z98" s="45"/>
      <c r="AA98" s="45"/>
      <c r="AB98" s="70"/>
      <c r="AC98" s="70"/>
      <c r="AD98" s="70"/>
      <c r="AE98" s="70"/>
      <c r="AF98" s="45"/>
      <c r="AG98" s="71"/>
      <c r="AH98" s="71"/>
      <c r="AI98" s="45"/>
      <c r="AJ98" s="45"/>
      <c r="AK98" s="45"/>
      <c r="AL98" s="45"/>
      <c r="AM98" s="45"/>
      <c r="AN98" s="45"/>
    </row>
    <row r="99">
      <c r="A99" s="45"/>
      <c r="B99" s="45"/>
      <c r="C99" s="45"/>
      <c r="D99" s="45"/>
      <c r="E99" s="45"/>
      <c r="F99" s="45"/>
      <c r="G99" s="69"/>
      <c r="H99" s="45"/>
      <c r="I99" s="45"/>
      <c r="J99" s="69"/>
      <c r="K99" s="45"/>
      <c r="L99" s="45"/>
      <c r="M99" s="45"/>
      <c r="N99" s="69"/>
      <c r="O99" s="45"/>
      <c r="P99" s="45"/>
      <c r="Q99" s="69"/>
      <c r="R99" s="45"/>
      <c r="S99" s="45"/>
      <c r="T99" s="69"/>
      <c r="U99" s="45"/>
      <c r="V99" s="45"/>
      <c r="W99" s="45"/>
      <c r="X99" s="45"/>
      <c r="Y99" s="69"/>
      <c r="Z99" s="45"/>
      <c r="AA99" s="45"/>
      <c r="AB99" s="70"/>
      <c r="AC99" s="70"/>
      <c r="AD99" s="70"/>
      <c r="AE99" s="70"/>
      <c r="AF99" s="45"/>
      <c r="AG99" s="71"/>
      <c r="AH99" s="71"/>
      <c r="AI99" s="45"/>
      <c r="AJ99" s="45"/>
      <c r="AK99" s="45"/>
      <c r="AL99" s="45"/>
      <c r="AM99" s="45"/>
      <c r="AN99" s="45"/>
    </row>
    <row r="100">
      <c r="A100" s="45"/>
      <c r="B100" s="45"/>
      <c r="C100" s="45"/>
      <c r="D100" s="45"/>
      <c r="E100" s="45"/>
      <c r="F100" s="45"/>
      <c r="G100" s="69"/>
      <c r="H100" s="45"/>
      <c r="I100" s="45"/>
      <c r="J100" s="69"/>
      <c r="K100" s="45"/>
      <c r="L100" s="45"/>
      <c r="M100" s="45"/>
      <c r="N100" s="69"/>
      <c r="O100" s="45"/>
      <c r="P100" s="45"/>
      <c r="Q100" s="69"/>
      <c r="R100" s="45"/>
      <c r="S100" s="45"/>
      <c r="T100" s="69"/>
      <c r="U100" s="45"/>
      <c r="V100" s="45"/>
      <c r="W100" s="45"/>
      <c r="X100" s="45"/>
      <c r="Y100" s="69"/>
      <c r="Z100" s="45"/>
      <c r="AA100" s="45"/>
      <c r="AB100" s="70"/>
      <c r="AC100" s="70"/>
      <c r="AD100" s="70"/>
      <c r="AE100" s="70"/>
      <c r="AF100" s="45"/>
      <c r="AG100" s="71"/>
      <c r="AH100" s="71"/>
      <c r="AI100" s="45"/>
      <c r="AJ100" s="45"/>
      <c r="AK100" s="45"/>
      <c r="AL100" s="45"/>
      <c r="AM100" s="45"/>
      <c r="AN100" s="45"/>
    </row>
    <row r="101">
      <c r="A101" s="45"/>
      <c r="B101" s="45"/>
      <c r="C101" s="45"/>
      <c r="D101" s="45"/>
      <c r="E101" s="45"/>
      <c r="F101" s="45"/>
      <c r="G101" s="69"/>
      <c r="H101" s="45"/>
      <c r="I101" s="45"/>
      <c r="J101" s="69"/>
      <c r="K101" s="45"/>
      <c r="L101" s="45"/>
      <c r="M101" s="45"/>
      <c r="N101" s="69"/>
      <c r="O101" s="45"/>
      <c r="P101" s="45"/>
      <c r="Q101" s="69"/>
      <c r="R101" s="45"/>
      <c r="S101" s="45"/>
      <c r="T101" s="69"/>
      <c r="U101" s="45"/>
      <c r="V101" s="45"/>
      <c r="W101" s="45"/>
      <c r="X101" s="45"/>
      <c r="Y101" s="69"/>
      <c r="Z101" s="45"/>
      <c r="AA101" s="45"/>
      <c r="AB101" s="70"/>
      <c r="AC101" s="70"/>
      <c r="AD101" s="70"/>
      <c r="AE101" s="70"/>
      <c r="AF101" s="45"/>
      <c r="AG101" s="71"/>
      <c r="AH101" s="71"/>
      <c r="AI101" s="45"/>
      <c r="AJ101" s="45"/>
      <c r="AK101" s="45"/>
      <c r="AL101" s="45"/>
      <c r="AM101" s="45"/>
      <c r="AN101" s="45"/>
    </row>
    <row r="102">
      <c r="A102" s="45"/>
      <c r="B102" s="45"/>
      <c r="C102" s="45"/>
      <c r="D102" s="45"/>
      <c r="E102" s="45"/>
      <c r="F102" s="45"/>
      <c r="G102" s="69"/>
      <c r="H102" s="45"/>
      <c r="I102" s="45"/>
      <c r="J102" s="69"/>
      <c r="K102" s="45"/>
      <c r="L102" s="45"/>
      <c r="M102" s="45"/>
      <c r="N102" s="69"/>
      <c r="O102" s="45"/>
      <c r="P102" s="45"/>
      <c r="Q102" s="69"/>
      <c r="R102" s="45"/>
      <c r="S102" s="45"/>
      <c r="T102" s="69"/>
      <c r="U102" s="45"/>
      <c r="V102" s="45"/>
      <c r="W102" s="45"/>
      <c r="X102" s="45"/>
      <c r="Y102" s="69"/>
      <c r="Z102" s="45"/>
      <c r="AA102" s="45"/>
      <c r="AB102" s="70"/>
      <c r="AC102" s="70"/>
      <c r="AD102" s="70"/>
      <c r="AE102" s="70"/>
      <c r="AF102" s="45"/>
      <c r="AG102" s="71"/>
      <c r="AH102" s="71"/>
      <c r="AI102" s="45"/>
      <c r="AJ102" s="45"/>
      <c r="AK102" s="45"/>
      <c r="AL102" s="45"/>
      <c r="AM102" s="45"/>
      <c r="AN102" s="45"/>
    </row>
    <row r="103">
      <c r="A103" s="45"/>
      <c r="B103" s="45"/>
      <c r="C103" s="45"/>
      <c r="D103" s="45"/>
      <c r="E103" s="45"/>
      <c r="F103" s="45"/>
      <c r="G103" s="69"/>
      <c r="H103" s="45"/>
      <c r="I103" s="45"/>
      <c r="J103" s="69"/>
      <c r="K103" s="45"/>
      <c r="L103" s="45"/>
      <c r="M103" s="45"/>
      <c r="N103" s="69"/>
      <c r="O103" s="45"/>
      <c r="P103" s="45"/>
      <c r="Q103" s="69"/>
      <c r="R103" s="45"/>
      <c r="S103" s="45"/>
      <c r="T103" s="69"/>
      <c r="U103" s="45"/>
      <c r="V103" s="45"/>
      <c r="W103" s="45"/>
      <c r="X103" s="45"/>
      <c r="Y103" s="69"/>
      <c r="Z103" s="45"/>
      <c r="AA103" s="45"/>
      <c r="AB103" s="70"/>
      <c r="AC103" s="70"/>
      <c r="AD103" s="70"/>
      <c r="AE103" s="70"/>
      <c r="AF103" s="45"/>
      <c r="AG103" s="71"/>
      <c r="AH103" s="71"/>
      <c r="AI103" s="45"/>
      <c r="AJ103" s="45"/>
      <c r="AK103" s="45"/>
      <c r="AL103" s="45"/>
      <c r="AM103" s="45"/>
      <c r="AN103" s="45"/>
    </row>
    <row r="104">
      <c r="A104" s="45"/>
      <c r="B104" s="45"/>
      <c r="C104" s="45"/>
      <c r="D104" s="45"/>
      <c r="E104" s="45"/>
      <c r="F104" s="45"/>
      <c r="G104" s="69"/>
      <c r="H104" s="45"/>
      <c r="I104" s="45"/>
      <c r="J104" s="69"/>
      <c r="K104" s="45"/>
      <c r="L104" s="45"/>
      <c r="M104" s="45"/>
      <c r="N104" s="69"/>
      <c r="O104" s="45"/>
      <c r="P104" s="45"/>
      <c r="Q104" s="69"/>
      <c r="R104" s="45"/>
      <c r="S104" s="45"/>
      <c r="T104" s="69"/>
      <c r="U104" s="45"/>
      <c r="V104" s="45"/>
      <c r="W104" s="45"/>
      <c r="X104" s="45"/>
      <c r="Y104" s="69"/>
      <c r="Z104" s="45"/>
      <c r="AA104" s="45"/>
      <c r="AB104" s="70"/>
      <c r="AC104" s="70"/>
      <c r="AD104" s="70"/>
      <c r="AE104" s="70"/>
      <c r="AF104" s="45"/>
      <c r="AG104" s="71"/>
      <c r="AH104" s="71"/>
      <c r="AI104" s="45"/>
      <c r="AJ104" s="45"/>
      <c r="AK104" s="45"/>
      <c r="AL104" s="45"/>
      <c r="AM104" s="45"/>
      <c r="AN104" s="45"/>
    </row>
    <row r="105">
      <c r="A105" s="45"/>
      <c r="B105" s="45"/>
      <c r="C105" s="45"/>
      <c r="D105" s="45"/>
      <c r="E105" s="45"/>
      <c r="F105" s="45"/>
      <c r="G105" s="69"/>
      <c r="H105" s="45"/>
      <c r="I105" s="45"/>
      <c r="J105" s="69"/>
      <c r="K105" s="45"/>
      <c r="L105" s="45"/>
      <c r="M105" s="45"/>
      <c r="N105" s="69"/>
      <c r="O105" s="45"/>
      <c r="P105" s="45"/>
      <c r="Q105" s="69"/>
      <c r="R105" s="45"/>
      <c r="S105" s="45"/>
      <c r="T105" s="69"/>
      <c r="U105" s="45"/>
      <c r="V105" s="45"/>
      <c r="W105" s="45"/>
      <c r="X105" s="45"/>
      <c r="Y105" s="69"/>
      <c r="Z105" s="45"/>
      <c r="AA105" s="45"/>
      <c r="AB105" s="70"/>
      <c r="AC105" s="70"/>
      <c r="AD105" s="70"/>
      <c r="AE105" s="70"/>
      <c r="AF105" s="45"/>
      <c r="AG105" s="71"/>
      <c r="AH105" s="71"/>
      <c r="AI105" s="45"/>
      <c r="AJ105" s="45"/>
      <c r="AK105" s="45"/>
      <c r="AL105" s="45"/>
      <c r="AM105" s="45"/>
      <c r="AN105" s="45"/>
    </row>
    <row r="106">
      <c r="A106" s="45"/>
      <c r="B106" s="45"/>
      <c r="C106" s="45"/>
      <c r="D106" s="45"/>
      <c r="E106" s="45"/>
      <c r="F106" s="45"/>
      <c r="G106" s="69"/>
      <c r="H106" s="45"/>
      <c r="I106" s="45"/>
      <c r="J106" s="69"/>
      <c r="K106" s="45"/>
      <c r="L106" s="45"/>
      <c r="M106" s="45"/>
      <c r="N106" s="69"/>
      <c r="O106" s="45"/>
      <c r="P106" s="45"/>
      <c r="Q106" s="69"/>
      <c r="R106" s="45"/>
      <c r="S106" s="45"/>
      <c r="T106" s="69"/>
      <c r="U106" s="45"/>
      <c r="V106" s="45"/>
      <c r="W106" s="45"/>
      <c r="X106" s="45"/>
      <c r="Y106" s="69"/>
      <c r="Z106" s="45"/>
      <c r="AA106" s="45"/>
      <c r="AB106" s="70"/>
      <c r="AC106" s="70"/>
      <c r="AD106" s="70"/>
      <c r="AE106" s="70"/>
      <c r="AF106" s="45"/>
      <c r="AG106" s="71"/>
      <c r="AH106" s="71"/>
      <c r="AI106" s="45"/>
      <c r="AJ106" s="45"/>
      <c r="AK106" s="45"/>
      <c r="AL106" s="45"/>
      <c r="AM106" s="45"/>
      <c r="AN106" s="45"/>
    </row>
    <row r="107">
      <c r="A107" s="45"/>
      <c r="B107" s="45"/>
      <c r="C107" s="45"/>
      <c r="D107" s="45"/>
      <c r="E107" s="45"/>
      <c r="F107" s="45"/>
      <c r="G107" s="69"/>
      <c r="H107" s="45"/>
      <c r="I107" s="45"/>
      <c r="J107" s="69"/>
      <c r="K107" s="45"/>
      <c r="L107" s="45"/>
      <c r="M107" s="45"/>
      <c r="N107" s="69"/>
      <c r="O107" s="45"/>
      <c r="P107" s="45"/>
      <c r="Q107" s="69"/>
      <c r="R107" s="45"/>
      <c r="S107" s="45"/>
      <c r="T107" s="69"/>
      <c r="U107" s="45"/>
      <c r="V107" s="45"/>
      <c r="W107" s="45"/>
      <c r="X107" s="45"/>
      <c r="Y107" s="69"/>
      <c r="Z107" s="45"/>
      <c r="AA107" s="45"/>
      <c r="AB107" s="70"/>
      <c r="AC107" s="70"/>
      <c r="AD107" s="70"/>
      <c r="AE107" s="70"/>
      <c r="AF107" s="45"/>
      <c r="AG107" s="71"/>
      <c r="AH107" s="71"/>
      <c r="AI107" s="45"/>
      <c r="AJ107" s="45"/>
      <c r="AK107" s="45"/>
      <c r="AL107" s="45"/>
      <c r="AM107" s="45"/>
      <c r="AN107" s="45"/>
    </row>
    <row r="108">
      <c r="A108" s="45"/>
      <c r="B108" s="45"/>
      <c r="C108" s="45"/>
      <c r="D108" s="45"/>
      <c r="E108" s="45"/>
      <c r="F108" s="45"/>
      <c r="G108" s="69"/>
      <c r="H108" s="45"/>
      <c r="I108" s="45"/>
      <c r="J108" s="69"/>
      <c r="K108" s="45"/>
      <c r="L108" s="45"/>
      <c r="M108" s="45"/>
      <c r="N108" s="69"/>
      <c r="O108" s="45"/>
      <c r="P108" s="45"/>
      <c r="Q108" s="69"/>
      <c r="R108" s="45"/>
      <c r="S108" s="45"/>
      <c r="T108" s="69"/>
      <c r="U108" s="45"/>
      <c r="V108" s="45"/>
      <c r="W108" s="45"/>
      <c r="X108" s="45"/>
      <c r="Y108" s="69"/>
      <c r="Z108" s="45"/>
      <c r="AA108" s="45"/>
      <c r="AB108" s="70"/>
      <c r="AC108" s="70"/>
      <c r="AD108" s="70"/>
      <c r="AE108" s="70"/>
      <c r="AF108" s="45"/>
      <c r="AG108" s="71"/>
      <c r="AH108" s="71"/>
      <c r="AI108" s="45"/>
      <c r="AJ108" s="45"/>
      <c r="AK108" s="45"/>
      <c r="AL108" s="45"/>
      <c r="AM108" s="45"/>
      <c r="AN108" s="45"/>
    </row>
    <row r="109">
      <c r="A109" s="45"/>
      <c r="B109" s="45"/>
      <c r="C109" s="45"/>
      <c r="D109" s="45"/>
      <c r="E109" s="45"/>
      <c r="F109" s="45"/>
      <c r="G109" s="69"/>
      <c r="H109" s="45"/>
      <c r="I109" s="45"/>
      <c r="J109" s="69"/>
      <c r="K109" s="45"/>
      <c r="L109" s="45"/>
      <c r="M109" s="45"/>
      <c r="N109" s="69"/>
      <c r="O109" s="45"/>
      <c r="P109" s="45"/>
      <c r="Q109" s="69"/>
      <c r="R109" s="45"/>
      <c r="S109" s="45"/>
      <c r="T109" s="69"/>
      <c r="U109" s="45"/>
      <c r="V109" s="45"/>
      <c r="W109" s="45"/>
      <c r="X109" s="45"/>
      <c r="Y109" s="69"/>
      <c r="Z109" s="45"/>
      <c r="AA109" s="45"/>
      <c r="AB109" s="70"/>
      <c r="AC109" s="70"/>
      <c r="AD109" s="70"/>
      <c r="AE109" s="70"/>
      <c r="AF109" s="45"/>
      <c r="AG109" s="71"/>
      <c r="AH109" s="71"/>
      <c r="AI109" s="45"/>
      <c r="AJ109" s="45"/>
      <c r="AK109" s="45"/>
      <c r="AL109" s="45"/>
      <c r="AM109" s="45"/>
      <c r="AN109" s="45"/>
    </row>
    <row r="110">
      <c r="A110" s="45"/>
      <c r="B110" s="45"/>
      <c r="C110" s="45"/>
      <c r="D110" s="45"/>
      <c r="E110" s="45"/>
      <c r="F110" s="45"/>
      <c r="G110" s="69"/>
      <c r="H110" s="45"/>
      <c r="I110" s="45"/>
      <c r="J110" s="69"/>
      <c r="K110" s="45"/>
      <c r="L110" s="45"/>
      <c r="M110" s="45"/>
      <c r="N110" s="69"/>
      <c r="O110" s="45"/>
      <c r="P110" s="45"/>
      <c r="Q110" s="69"/>
      <c r="R110" s="45"/>
      <c r="S110" s="45"/>
      <c r="T110" s="69"/>
      <c r="U110" s="45"/>
      <c r="V110" s="45"/>
      <c r="W110" s="45"/>
      <c r="X110" s="45"/>
      <c r="Y110" s="69"/>
      <c r="Z110" s="45"/>
      <c r="AA110" s="45"/>
      <c r="AB110" s="70"/>
      <c r="AC110" s="70"/>
      <c r="AD110" s="70"/>
      <c r="AE110" s="70"/>
      <c r="AF110" s="45"/>
      <c r="AG110" s="71"/>
      <c r="AH110" s="71"/>
      <c r="AI110" s="45"/>
      <c r="AJ110" s="45"/>
      <c r="AK110" s="45"/>
      <c r="AL110" s="45"/>
      <c r="AM110" s="45"/>
      <c r="AN110" s="45"/>
    </row>
    <row r="111">
      <c r="A111" s="45"/>
      <c r="B111" s="45"/>
      <c r="C111" s="45"/>
      <c r="D111" s="45"/>
      <c r="E111" s="45"/>
      <c r="F111" s="45"/>
      <c r="G111" s="69"/>
      <c r="H111" s="45"/>
      <c r="I111" s="45"/>
      <c r="J111" s="69"/>
      <c r="K111" s="45"/>
      <c r="L111" s="45"/>
      <c r="M111" s="45"/>
      <c r="N111" s="69"/>
      <c r="O111" s="45"/>
      <c r="P111" s="45"/>
      <c r="Q111" s="69"/>
      <c r="R111" s="45"/>
      <c r="S111" s="45"/>
      <c r="T111" s="69"/>
      <c r="U111" s="45"/>
      <c r="V111" s="45"/>
      <c r="W111" s="45"/>
      <c r="X111" s="45"/>
      <c r="Y111" s="69"/>
      <c r="Z111" s="45"/>
      <c r="AA111" s="45"/>
      <c r="AB111" s="70"/>
      <c r="AC111" s="70"/>
      <c r="AD111" s="70"/>
      <c r="AE111" s="70"/>
      <c r="AF111" s="45"/>
      <c r="AG111" s="71"/>
      <c r="AH111" s="71"/>
      <c r="AI111" s="45"/>
      <c r="AJ111" s="45"/>
      <c r="AK111" s="45"/>
      <c r="AL111" s="45"/>
      <c r="AM111" s="45"/>
      <c r="AN111" s="45"/>
    </row>
    <row r="112">
      <c r="A112" s="45"/>
      <c r="B112" s="45"/>
      <c r="C112" s="45"/>
      <c r="D112" s="45"/>
      <c r="E112" s="45"/>
      <c r="F112" s="45"/>
      <c r="G112" s="69"/>
      <c r="H112" s="45"/>
      <c r="I112" s="45"/>
      <c r="J112" s="69"/>
      <c r="K112" s="45"/>
      <c r="L112" s="45"/>
      <c r="M112" s="45"/>
      <c r="N112" s="69"/>
      <c r="O112" s="45"/>
      <c r="P112" s="45"/>
      <c r="Q112" s="69"/>
      <c r="R112" s="45"/>
      <c r="S112" s="45"/>
      <c r="T112" s="69"/>
      <c r="U112" s="45"/>
      <c r="V112" s="45"/>
      <c r="W112" s="45"/>
      <c r="X112" s="45"/>
      <c r="Y112" s="69"/>
      <c r="Z112" s="45"/>
      <c r="AA112" s="45"/>
      <c r="AB112" s="70"/>
      <c r="AC112" s="70"/>
      <c r="AD112" s="70"/>
      <c r="AE112" s="70"/>
      <c r="AF112" s="45"/>
      <c r="AG112" s="71"/>
      <c r="AH112" s="71"/>
      <c r="AI112" s="45"/>
      <c r="AJ112" s="45"/>
      <c r="AK112" s="45"/>
      <c r="AL112" s="45"/>
      <c r="AM112" s="45"/>
      <c r="AN112" s="45"/>
    </row>
    <row r="113">
      <c r="A113" s="45"/>
      <c r="B113" s="45"/>
      <c r="C113" s="45"/>
      <c r="D113" s="45"/>
      <c r="E113" s="45"/>
      <c r="F113" s="45"/>
      <c r="G113" s="69"/>
      <c r="H113" s="45"/>
      <c r="I113" s="45"/>
      <c r="J113" s="69"/>
      <c r="K113" s="45"/>
      <c r="L113" s="45"/>
      <c r="M113" s="45"/>
      <c r="N113" s="69"/>
      <c r="O113" s="45"/>
      <c r="P113" s="45"/>
      <c r="Q113" s="69"/>
      <c r="R113" s="45"/>
      <c r="S113" s="45"/>
      <c r="T113" s="69"/>
      <c r="U113" s="45"/>
      <c r="V113" s="45"/>
      <c r="W113" s="45"/>
      <c r="X113" s="45"/>
      <c r="Y113" s="69"/>
      <c r="Z113" s="45"/>
      <c r="AA113" s="45"/>
      <c r="AB113" s="70"/>
      <c r="AC113" s="70"/>
      <c r="AD113" s="70"/>
      <c r="AE113" s="70"/>
      <c r="AF113" s="45"/>
      <c r="AG113" s="71"/>
      <c r="AH113" s="71"/>
      <c r="AI113" s="45"/>
      <c r="AJ113" s="45"/>
      <c r="AK113" s="45"/>
      <c r="AL113" s="45"/>
      <c r="AM113" s="45"/>
      <c r="AN113" s="45"/>
    </row>
    <row r="114">
      <c r="A114" s="45"/>
      <c r="B114" s="45"/>
      <c r="C114" s="45"/>
      <c r="D114" s="45"/>
      <c r="E114" s="45"/>
      <c r="F114" s="45"/>
      <c r="G114" s="69"/>
      <c r="H114" s="45"/>
      <c r="I114" s="45"/>
      <c r="J114" s="69"/>
      <c r="K114" s="45"/>
      <c r="L114" s="45"/>
      <c r="M114" s="45"/>
      <c r="N114" s="69"/>
      <c r="O114" s="45"/>
      <c r="P114" s="45"/>
      <c r="Q114" s="69"/>
      <c r="R114" s="45"/>
      <c r="S114" s="45"/>
      <c r="T114" s="69"/>
      <c r="U114" s="45"/>
      <c r="V114" s="45"/>
      <c r="W114" s="45"/>
      <c r="X114" s="45"/>
      <c r="Y114" s="69"/>
      <c r="Z114" s="45"/>
      <c r="AA114" s="45"/>
      <c r="AB114" s="70"/>
      <c r="AC114" s="70"/>
      <c r="AD114" s="70"/>
      <c r="AE114" s="70"/>
      <c r="AF114" s="45"/>
      <c r="AG114" s="71"/>
      <c r="AH114" s="71"/>
      <c r="AI114" s="45"/>
      <c r="AJ114" s="45"/>
      <c r="AK114" s="45"/>
      <c r="AL114" s="45"/>
      <c r="AM114" s="45"/>
      <c r="AN114" s="45"/>
    </row>
    <row r="115">
      <c r="A115" s="45"/>
      <c r="B115" s="45"/>
      <c r="C115" s="45"/>
      <c r="D115" s="45"/>
      <c r="E115" s="45"/>
      <c r="F115" s="45"/>
      <c r="G115" s="69"/>
      <c r="H115" s="45"/>
      <c r="I115" s="45"/>
      <c r="J115" s="69"/>
      <c r="K115" s="45"/>
      <c r="L115" s="45"/>
      <c r="M115" s="45"/>
      <c r="N115" s="69"/>
      <c r="O115" s="45"/>
      <c r="P115" s="45"/>
      <c r="Q115" s="69"/>
      <c r="R115" s="45"/>
      <c r="S115" s="45"/>
      <c r="T115" s="69"/>
      <c r="U115" s="45"/>
      <c r="V115" s="45"/>
      <c r="W115" s="45"/>
      <c r="X115" s="45"/>
      <c r="Y115" s="69"/>
      <c r="Z115" s="45"/>
      <c r="AA115" s="45"/>
      <c r="AB115" s="70"/>
      <c r="AC115" s="70"/>
      <c r="AD115" s="70"/>
      <c r="AE115" s="70"/>
      <c r="AF115" s="45"/>
      <c r="AG115" s="71"/>
      <c r="AH115" s="71"/>
      <c r="AI115" s="45"/>
      <c r="AJ115" s="45"/>
      <c r="AK115" s="45"/>
      <c r="AL115" s="45"/>
      <c r="AM115" s="45"/>
      <c r="AN115" s="45"/>
    </row>
    <row r="116">
      <c r="A116" s="45"/>
      <c r="B116" s="45"/>
      <c r="C116" s="45"/>
      <c r="D116" s="45"/>
      <c r="E116" s="45"/>
      <c r="F116" s="45"/>
      <c r="G116" s="69"/>
      <c r="H116" s="45"/>
      <c r="I116" s="45"/>
      <c r="J116" s="69"/>
      <c r="K116" s="45"/>
      <c r="L116" s="45"/>
      <c r="M116" s="45"/>
      <c r="N116" s="69"/>
      <c r="O116" s="45"/>
      <c r="P116" s="45"/>
      <c r="Q116" s="69"/>
      <c r="R116" s="45"/>
      <c r="S116" s="45"/>
      <c r="T116" s="69"/>
      <c r="U116" s="45"/>
      <c r="V116" s="45"/>
      <c r="W116" s="45"/>
      <c r="X116" s="45"/>
      <c r="Y116" s="69"/>
      <c r="Z116" s="45"/>
      <c r="AA116" s="45"/>
      <c r="AB116" s="70"/>
      <c r="AC116" s="70"/>
      <c r="AD116" s="70"/>
      <c r="AE116" s="70"/>
      <c r="AF116" s="45"/>
      <c r="AG116" s="71"/>
      <c r="AH116" s="71"/>
      <c r="AI116" s="45"/>
      <c r="AJ116" s="45"/>
      <c r="AK116" s="45"/>
      <c r="AL116" s="45"/>
      <c r="AM116" s="45"/>
      <c r="AN116" s="45"/>
    </row>
    <row r="117">
      <c r="A117" s="45"/>
      <c r="B117" s="45"/>
      <c r="C117" s="45"/>
      <c r="D117" s="45"/>
      <c r="E117" s="45"/>
      <c r="F117" s="45"/>
      <c r="G117" s="69"/>
      <c r="H117" s="45"/>
      <c r="I117" s="45"/>
      <c r="J117" s="69"/>
      <c r="K117" s="45"/>
      <c r="L117" s="45"/>
      <c r="M117" s="45"/>
      <c r="N117" s="69"/>
      <c r="O117" s="45"/>
      <c r="P117" s="45"/>
      <c r="Q117" s="69"/>
      <c r="R117" s="45"/>
      <c r="S117" s="45"/>
      <c r="T117" s="69"/>
      <c r="U117" s="45"/>
      <c r="V117" s="45"/>
      <c r="W117" s="45"/>
      <c r="X117" s="45"/>
      <c r="Y117" s="69"/>
      <c r="Z117" s="45"/>
      <c r="AA117" s="45"/>
      <c r="AB117" s="70"/>
      <c r="AC117" s="70"/>
      <c r="AD117" s="70"/>
      <c r="AE117" s="70"/>
      <c r="AF117" s="45"/>
      <c r="AG117" s="71"/>
      <c r="AH117" s="71"/>
      <c r="AI117" s="45"/>
      <c r="AJ117" s="45"/>
      <c r="AK117" s="45"/>
      <c r="AL117" s="45"/>
      <c r="AM117" s="45"/>
      <c r="AN117" s="45"/>
    </row>
    <row r="118">
      <c r="A118" s="45"/>
      <c r="B118" s="45"/>
      <c r="C118" s="45"/>
      <c r="D118" s="45"/>
      <c r="E118" s="45"/>
      <c r="F118" s="45"/>
      <c r="G118" s="69"/>
      <c r="H118" s="45"/>
      <c r="I118" s="45"/>
      <c r="J118" s="69"/>
      <c r="K118" s="45"/>
      <c r="L118" s="45"/>
      <c r="M118" s="45"/>
      <c r="N118" s="69"/>
      <c r="O118" s="45"/>
      <c r="P118" s="45"/>
      <c r="Q118" s="69"/>
      <c r="R118" s="45"/>
      <c r="S118" s="45"/>
      <c r="T118" s="69"/>
      <c r="U118" s="45"/>
      <c r="V118" s="45"/>
      <c r="W118" s="45"/>
      <c r="X118" s="45"/>
      <c r="Y118" s="69"/>
      <c r="Z118" s="45"/>
      <c r="AA118" s="45"/>
      <c r="AB118" s="70"/>
      <c r="AC118" s="70"/>
      <c r="AD118" s="70"/>
      <c r="AE118" s="70"/>
      <c r="AF118" s="45"/>
      <c r="AG118" s="71"/>
      <c r="AH118" s="71"/>
      <c r="AI118" s="45"/>
      <c r="AJ118" s="45"/>
      <c r="AK118" s="45"/>
      <c r="AL118" s="45"/>
      <c r="AM118" s="45"/>
      <c r="AN118" s="45"/>
    </row>
    <row r="119">
      <c r="A119" s="45"/>
      <c r="B119" s="45"/>
      <c r="C119" s="45"/>
      <c r="D119" s="45"/>
      <c r="E119" s="45"/>
      <c r="F119" s="45"/>
      <c r="G119" s="69"/>
      <c r="H119" s="45"/>
      <c r="I119" s="45"/>
      <c r="J119" s="69"/>
      <c r="K119" s="45"/>
      <c r="L119" s="45"/>
      <c r="M119" s="45"/>
      <c r="N119" s="69"/>
      <c r="O119" s="45"/>
      <c r="P119" s="45"/>
      <c r="Q119" s="69"/>
      <c r="R119" s="45"/>
      <c r="S119" s="45"/>
      <c r="T119" s="69"/>
      <c r="U119" s="45"/>
      <c r="V119" s="45"/>
      <c r="W119" s="45"/>
      <c r="X119" s="45"/>
      <c r="Y119" s="69"/>
      <c r="Z119" s="45"/>
      <c r="AA119" s="45"/>
      <c r="AB119" s="70"/>
      <c r="AC119" s="70"/>
      <c r="AD119" s="70"/>
      <c r="AE119" s="70"/>
      <c r="AF119" s="45"/>
      <c r="AG119" s="71"/>
      <c r="AH119" s="71"/>
      <c r="AI119" s="45"/>
      <c r="AJ119" s="45"/>
      <c r="AK119" s="45"/>
      <c r="AL119" s="45"/>
      <c r="AM119" s="45"/>
      <c r="AN119" s="45"/>
    </row>
    <row r="120">
      <c r="A120" s="45"/>
      <c r="B120" s="45"/>
      <c r="C120" s="45"/>
      <c r="D120" s="45"/>
      <c r="E120" s="45"/>
      <c r="F120" s="45"/>
      <c r="G120" s="69"/>
      <c r="H120" s="45"/>
      <c r="I120" s="45"/>
      <c r="J120" s="69"/>
      <c r="K120" s="45"/>
      <c r="L120" s="45"/>
      <c r="M120" s="45"/>
      <c r="N120" s="69"/>
      <c r="O120" s="45"/>
      <c r="P120" s="45"/>
      <c r="Q120" s="69"/>
      <c r="R120" s="45"/>
      <c r="S120" s="45"/>
      <c r="T120" s="69"/>
      <c r="U120" s="45"/>
      <c r="V120" s="45"/>
      <c r="W120" s="45"/>
      <c r="X120" s="45"/>
      <c r="Y120" s="69"/>
      <c r="Z120" s="45"/>
      <c r="AA120" s="45"/>
      <c r="AB120" s="70"/>
      <c r="AC120" s="70"/>
      <c r="AD120" s="70"/>
      <c r="AE120" s="70"/>
      <c r="AF120" s="45"/>
      <c r="AG120" s="71"/>
      <c r="AH120" s="71"/>
      <c r="AI120" s="45"/>
      <c r="AJ120" s="45"/>
      <c r="AK120" s="45"/>
      <c r="AL120" s="45"/>
      <c r="AM120" s="45"/>
      <c r="AN120" s="45"/>
    </row>
    <row r="121">
      <c r="A121" s="45"/>
      <c r="B121" s="45"/>
      <c r="C121" s="45"/>
      <c r="D121" s="45"/>
      <c r="E121" s="45"/>
      <c r="F121" s="45"/>
      <c r="G121" s="69"/>
      <c r="H121" s="45"/>
      <c r="I121" s="45"/>
      <c r="J121" s="69"/>
      <c r="K121" s="45"/>
      <c r="L121" s="45"/>
      <c r="M121" s="45"/>
      <c r="N121" s="69"/>
      <c r="O121" s="45"/>
      <c r="P121" s="45"/>
      <c r="Q121" s="69"/>
      <c r="R121" s="45"/>
      <c r="S121" s="45"/>
      <c r="T121" s="69"/>
      <c r="U121" s="45"/>
      <c r="V121" s="45"/>
      <c r="W121" s="45"/>
      <c r="X121" s="45"/>
      <c r="Y121" s="69"/>
      <c r="Z121" s="45"/>
      <c r="AA121" s="45"/>
      <c r="AB121" s="70"/>
      <c r="AC121" s="70"/>
      <c r="AD121" s="70"/>
      <c r="AE121" s="70"/>
      <c r="AF121" s="45"/>
      <c r="AG121" s="71"/>
      <c r="AH121" s="71"/>
      <c r="AI121" s="45"/>
      <c r="AJ121" s="45"/>
      <c r="AK121" s="45"/>
      <c r="AL121" s="45"/>
      <c r="AM121" s="45"/>
      <c r="AN121" s="45"/>
    </row>
    <row r="122">
      <c r="A122" s="45"/>
      <c r="B122" s="45"/>
      <c r="C122" s="45"/>
      <c r="D122" s="45"/>
      <c r="E122" s="45"/>
      <c r="F122" s="45"/>
      <c r="G122" s="69"/>
      <c r="H122" s="45"/>
      <c r="I122" s="45"/>
      <c r="J122" s="69"/>
      <c r="K122" s="45"/>
      <c r="L122" s="45"/>
      <c r="M122" s="45"/>
      <c r="N122" s="69"/>
      <c r="O122" s="45"/>
      <c r="P122" s="45"/>
      <c r="Q122" s="69"/>
      <c r="R122" s="45"/>
      <c r="S122" s="45"/>
      <c r="T122" s="69"/>
      <c r="U122" s="45"/>
      <c r="V122" s="45"/>
      <c r="W122" s="45"/>
      <c r="X122" s="45"/>
      <c r="Y122" s="69"/>
      <c r="Z122" s="45"/>
      <c r="AA122" s="45"/>
      <c r="AB122" s="70"/>
      <c r="AC122" s="70"/>
      <c r="AD122" s="70"/>
      <c r="AE122" s="70"/>
      <c r="AF122" s="45"/>
      <c r="AG122" s="71"/>
      <c r="AH122" s="71"/>
      <c r="AI122" s="45"/>
      <c r="AJ122" s="45"/>
      <c r="AK122" s="45"/>
      <c r="AL122" s="45"/>
      <c r="AM122" s="45"/>
      <c r="AN122" s="45"/>
    </row>
    <row r="123">
      <c r="A123" s="45"/>
      <c r="B123" s="45"/>
      <c r="C123" s="45"/>
      <c r="D123" s="45"/>
      <c r="E123" s="45"/>
      <c r="F123" s="45"/>
      <c r="G123" s="69"/>
      <c r="H123" s="45"/>
      <c r="I123" s="45"/>
      <c r="J123" s="69"/>
      <c r="K123" s="45"/>
      <c r="L123" s="45"/>
      <c r="M123" s="45"/>
      <c r="N123" s="69"/>
      <c r="O123" s="45"/>
      <c r="P123" s="45"/>
      <c r="Q123" s="69"/>
      <c r="R123" s="45"/>
      <c r="S123" s="45"/>
      <c r="T123" s="69"/>
      <c r="U123" s="45"/>
      <c r="V123" s="45"/>
      <c r="W123" s="45"/>
      <c r="X123" s="45"/>
      <c r="Y123" s="69"/>
      <c r="Z123" s="45"/>
      <c r="AA123" s="45"/>
      <c r="AB123" s="70"/>
      <c r="AC123" s="70"/>
      <c r="AD123" s="70"/>
      <c r="AE123" s="70"/>
      <c r="AF123" s="45"/>
      <c r="AG123" s="71"/>
      <c r="AH123" s="71"/>
      <c r="AI123" s="45"/>
      <c r="AJ123" s="45"/>
      <c r="AK123" s="45"/>
      <c r="AL123" s="45"/>
      <c r="AM123" s="45"/>
      <c r="AN123" s="45"/>
    </row>
    <row r="124">
      <c r="A124" s="45"/>
      <c r="B124" s="45"/>
      <c r="C124" s="45"/>
      <c r="D124" s="45"/>
      <c r="E124" s="45"/>
      <c r="F124" s="45"/>
      <c r="G124" s="69"/>
      <c r="H124" s="45"/>
      <c r="I124" s="45"/>
      <c r="J124" s="69"/>
      <c r="K124" s="45"/>
      <c r="L124" s="45"/>
      <c r="M124" s="45"/>
      <c r="N124" s="69"/>
      <c r="O124" s="45"/>
      <c r="P124" s="45"/>
      <c r="Q124" s="69"/>
      <c r="R124" s="45"/>
      <c r="S124" s="45"/>
      <c r="T124" s="69"/>
      <c r="U124" s="45"/>
      <c r="V124" s="45"/>
      <c r="W124" s="45"/>
      <c r="X124" s="45"/>
      <c r="Y124" s="69"/>
      <c r="Z124" s="45"/>
      <c r="AA124" s="45"/>
      <c r="AB124" s="70"/>
      <c r="AC124" s="70"/>
      <c r="AD124" s="70"/>
      <c r="AE124" s="70"/>
      <c r="AF124" s="45"/>
      <c r="AG124" s="71"/>
      <c r="AH124" s="71"/>
      <c r="AI124" s="45"/>
      <c r="AJ124" s="45"/>
      <c r="AK124" s="45"/>
      <c r="AL124" s="45"/>
      <c r="AM124" s="45"/>
      <c r="AN124" s="45"/>
    </row>
    <row r="125">
      <c r="A125" s="45"/>
      <c r="B125" s="45"/>
      <c r="C125" s="45"/>
      <c r="D125" s="45"/>
      <c r="E125" s="45"/>
      <c r="F125" s="45"/>
      <c r="G125" s="69"/>
      <c r="H125" s="45"/>
      <c r="I125" s="45"/>
      <c r="J125" s="69"/>
      <c r="K125" s="45"/>
      <c r="L125" s="45"/>
      <c r="M125" s="45"/>
      <c r="N125" s="69"/>
      <c r="O125" s="45"/>
      <c r="P125" s="45"/>
      <c r="Q125" s="69"/>
      <c r="R125" s="45"/>
      <c r="S125" s="45"/>
      <c r="T125" s="69"/>
      <c r="U125" s="45"/>
      <c r="V125" s="45"/>
      <c r="W125" s="45"/>
      <c r="X125" s="45"/>
      <c r="Y125" s="69"/>
      <c r="Z125" s="45"/>
      <c r="AA125" s="45"/>
      <c r="AB125" s="70"/>
      <c r="AC125" s="70"/>
      <c r="AD125" s="70"/>
      <c r="AE125" s="70"/>
      <c r="AF125" s="45"/>
      <c r="AG125" s="71"/>
      <c r="AH125" s="71"/>
      <c r="AI125" s="45"/>
      <c r="AJ125" s="45"/>
      <c r="AK125" s="45"/>
      <c r="AL125" s="45"/>
      <c r="AM125" s="45"/>
      <c r="AN125" s="45"/>
    </row>
    <row r="126">
      <c r="A126" s="45"/>
      <c r="B126" s="45"/>
      <c r="C126" s="45"/>
      <c r="D126" s="45"/>
      <c r="E126" s="45"/>
      <c r="F126" s="45"/>
      <c r="G126" s="69"/>
      <c r="H126" s="45"/>
      <c r="I126" s="45"/>
      <c r="J126" s="69"/>
      <c r="K126" s="45"/>
      <c r="L126" s="45"/>
      <c r="M126" s="45"/>
      <c r="N126" s="69"/>
      <c r="O126" s="45"/>
      <c r="P126" s="45"/>
      <c r="Q126" s="69"/>
      <c r="R126" s="45"/>
      <c r="S126" s="45"/>
      <c r="T126" s="69"/>
      <c r="U126" s="45"/>
      <c r="V126" s="45"/>
      <c r="W126" s="45"/>
      <c r="X126" s="45"/>
      <c r="Y126" s="69"/>
      <c r="Z126" s="45"/>
      <c r="AA126" s="45"/>
      <c r="AB126" s="70"/>
      <c r="AC126" s="70"/>
      <c r="AD126" s="70"/>
      <c r="AE126" s="70"/>
      <c r="AF126" s="45"/>
      <c r="AG126" s="71"/>
      <c r="AH126" s="71"/>
      <c r="AI126" s="45"/>
      <c r="AJ126" s="45"/>
      <c r="AK126" s="45"/>
      <c r="AL126" s="45"/>
      <c r="AM126" s="45"/>
      <c r="AN126" s="45"/>
    </row>
    <row r="127">
      <c r="A127" s="45"/>
      <c r="B127" s="45"/>
      <c r="C127" s="45"/>
      <c r="D127" s="45"/>
      <c r="E127" s="45"/>
      <c r="F127" s="45"/>
      <c r="G127" s="69"/>
      <c r="H127" s="45"/>
      <c r="I127" s="45"/>
      <c r="J127" s="69"/>
      <c r="K127" s="45"/>
      <c r="L127" s="45"/>
      <c r="M127" s="45"/>
      <c r="N127" s="69"/>
      <c r="O127" s="45"/>
      <c r="P127" s="45"/>
      <c r="Q127" s="69"/>
      <c r="R127" s="45"/>
      <c r="S127" s="45"/>
      <c r="T127" s="69"/>
      <c r="U127" s="45"/>
      <c r="V127" s="45"/>
      <c r="W127" s="45"/>
      <c r="X127" s="45"/>
      <c r="Y127" s="69"/>
      <c r="Z127" s="45"/>
      <c r="AA127" s="45"/>
      <c r="AB127" s="70"/>
      <c r="AC127" s="70"/>
      <c r="AD127" s="70"/>
      <c r="AE127" s="70"/>
      <c r="AF127" s="45"/>
      <c r="AG127" s="71"/>
      <c r="AH127" s="71"/>
      <c r="AI127" s="45"/>
      <c r="AJ127" s="45"/>
      <c r="AK127" s="45"/>
      <c r="AL127" s="45"/>
      <c r="AM127" s="45"/>
      <c r="AN127" s="45"/>
    </row>
    <row r="128">
      <c r="A128" s="45"/>
      <c r="B128" s="45"/>
      <c r="C128" s="45"/>
      <c r="D128" s="45"/>
      <c r="E128" s="45"/>
      <c r="F128" s="45"/>
      <c r="G128" s="69"/>
      <c r="H128" s="45"/>
      <c r="I128" s="45"/>
      <c r="J128" s="69"/>
      <c r="K128" s="45"/>
      <c r="L128" s="45"/>
      <c r="M128" s="45"/>
      <c r="N128" s="69"/>
      <c r="O128" s="45"/>
      <c r="P128" s="45"/>
      <c r="Q128" s="69"/>
      <c r="R128" s="45"/>
      <c r="S128" s="45"/>
      <c r="T128" s="69"/>
      <c r="U128" s="45"/>
      <c r="V128" s="45"/>
      <c r="W128" s="45"/>
      <c r="X128" s="45"/>
      <c r="Y128" s="69"/>
      <c r="Z128" s="45"/>
      <c r="AA128" s="45"/>
      <c r="AB128" s="70"/>
      <c r="AC128" s="70"/>
      <c r="AD128" s="70"/>
      <c r="AE128" s="70"/>
      <c r="AF128" s="45"/>
      <c r="AG128" s="71"/>
      <c r="AH128" s="71"/>
      <c r="AI128" s="45"/>
      <c r="AJ128" s="45"/>
      <c r="AK128" s="45"/>
      <c r="AL128" s="45"/>
      <c r="AM128" s="45"/>
      <c r="AN128" s="45"/>
    </row>
    <row r="129">
      <c r="A129" s="45"/>
      <c r="B129" s="45"/>
      <c r="C129" s="45"/>
      <c r="D129" s="45"/>
      <c r="E129" s="45"/>
      <c r="F129" s="45"/>
      <c r="G129" s="69"/>
      <c r="H129" s="45"/>
      <c r="I129" s="45"/>
      <c r="J129" s="69"/>
      <c r="K129" s="45"/>
      <c r="L129" s="45"/>
      <c r="M129" s="45"/>
      <c r="N129" s="69"/>
      <c r="O129" s="45"/>
      <c r="P129" s="45"/>
      <c r="Q129" s="69"/>
      <c r="R129" s="45"/>
      <c r="S129" s="45"/>
      <c r="T129" s="69"/>
      <c r="U129" s="45"/>
      <c r="V129" s="45"/>
      <c r="W129" s="45"/>
      <c r="X129" s="45"/>
      <c r="Y129" s="69"/>
      <c r="Z129" s="45"/>
      <c r="AA129" s="45"/>
      <c r="AB129" s="70"/>
      <c r="AC129" s="70"/>
      <c r="AD129" s="70"/>
      <c r="AE129" s="70"/>
      <c r="AF129" s="45"/>
      <c r="AG129" s="71"/>
      <c r="AH129" s="71"/>
      <c r="AI129" s="45"/>
      <c r="AJ129" s="45"/>
      <c r="AK129" s="45"/>
      <c r="AL129" s="45"/>
      <c r="AM129" s="45"/>
      <c r="AN129" s="45"/>
    </row>
    <row r="130">
      <c r="A130" s="45"/>
      <c r="B130" s="45"/>
      <c r="C130" s="45"/>
      <c r="D130" s="45"/>
      <c r="E130" s="45"/>
      <c r="F130" s="45"/>
      <c r="G130" s="69"/>
      <c r="H130" s="45"/>
      <c r="I130" s="45"/>
      <c r="J130" s="69"/>
      <c r="K130" s="45"/>
      <c r="L130" s="45"/>
      <c r="M130" s="45"/>
      <c r="N130" s="69"/>
      <c r="O130" s="45"/>
      <c r="P130" s="45"/>
      <c r="Q130" s="69"/>
      <c r="R130" s="45"/>
      <c r="S130" s="45"/>
      <c r="T130" s="69"/>
      <c r="U130" s="45"/>
      <c r="V130" s="45"/>
      <c r="W130" s="45"/>
      <c r="X130" s="45"/>
      <c r="Y130" s="69"/>
      <c r="Z130" s="45"/>
      <c r="AA130" s="45"/>
      <c r="AB130" s="70"/>
      <c r="AC130" s="70"/>
      <c r="AD130" s="70"/>
      <c r="AE130" s="70"/>
      <c r="AF130" s="45"/>
      <c r="AG130" s="71"/>
      <c r="AH130" s="71"/>
      <c r="AI130" s="45"/>
      <c r="AJ130" s="45"/>
      <c r="AK130" s="45"/>
      <c r="AL130" s="45"/>
      <c r="AM130" s="45"/>
      <c r="AN130" s="45"/>
    </row>
    <row r="131">
      <c r="A131" s="45"/>
      <c r="B131" s="45"/>
      <c r="C131" s="45"/>
      <c r="D131" s="45"/>
      <c r="E131" s="45"/>
      <c r="F131" s="45"/>
      <c r="G131" s="69"/>
      <c r="H131" s="45"/>
      <c r="I131" s="45"/>
      <c r="J131" s="69"/>
      <c r="K131" s="45"/>
      <c r="L131" s="45"/>
      <c r="M131" s="45"/>
      <c r="N131" s="69"/>
      <c r="O131" s="45"/>
      <c r="P131" s="45"/>
      <c r="Q131" s="69"/>
      <c r="R131" s="45"/>
      <c r="S131" s="45"/>
      <c r="T131" s="69"/>
      <c r="U131" s="45"/>
      <c r="V131" s="45"/>
      <c r="W131" s="45"/>
      <c r="X131" s="45"/>
      <c r="Y131" s="69"/>
      <c r="Z131" s="45"/>
      <c r="AA131" s="45"/>
      <c r="AB131" s="70"/>
      <c r="AC131" s="70"/>
      <c r="AD131" s="70"/>
      <c r="AE131" s="70"/>
      <c r="AF131" s="45"/>
      <c r="AG131" s="71"/>
      <c r="AH131" s="71"/>
      <c r="AI131" s="45"/>
      <c r="AJ131" s="45"/>
      <c r="AK131" s="45"/>
      <c r="AL131" s="45"/>
      <c r="AM131" s="45"/>
      <c r="AN131" s="45"/>
    </row>
    <row r="132">
      <c r="A132" s="45"/>
      <c r="B132" s="45"/>
      <c r="C132" s="45"/>
      <c r="D132" s="45"/>
      <c r="E132" s="45"/>
      <c r="F132" s="45"/>
      <c r="G132" s="69"/>
      <c r="H132" s="45"/>
      <c r="I132" s="45"/>
      <c r="J132" s="69"/>
      <c r="K132" s="45"/>
      <c r="L132" s="45"/>
      <c r="M132" s="45"/>
      <c r="N132" s="69"/>
      <c r="O132" s="45"/>
      <c r="P132" s="45"/>
      <c r="Q132" s="69"/>
      <c r="R132" s="45"/>
      <c r="S132" s="45"/>
      <c r="T132" s="69"/>
      <c r="U132" s="45"/>
      <c r="V132" s="45"/>
      <c r="W132" s="45"/>
      <c r="X132" s="45"/>
      <c r="Y132" s="69"/>
      <c r="Z132" s="45"/>
      <c r="AA132" s="45"/>
      <c r="AB132" s="70"/>
      <c r="AC132" s="70"/>
      <c r="AD132" s="70"/>
      <c r="AE132" s="70"/>
      <c r="AF132" s="45"/>
      <c r="AG132" s="71"/>
      <c r="AH132" s="71"/>
      <c r="AI132" s="45"/>
      <c r="AJ132" s="45"/>
      <c r="AK132" s="45"/>
      <c r="AL132" s="45"/>
      <c r="AM132" s="45"/>
      <c r="AN132" s="45"/>
    </row>
    <row r="133">
      <c r="A133" s="45"/>
      <c r="B133" s="45"/>
      <c r="C133" s="45"/>
      <c r="D133" s="45"/>
      <c r="E133" s="45"/>
      <c r="F133" s="45"/>
      <c r="G133" s="69"/>
      <c r="H133" s="45"/>
      <c r="I133" s="45"/>
      <c r="J133" s="69"/>
      <c r="K133" s="45"/>
      <c r="L133" s="45"/>
      <c r="M133" s="45"/>
      <c r="N133" s="69"/>
      <c r="O133" s="45"/>
      <c r="P133" s="45"/>
      <c r="Q133" s="69"/>
      <c r="R133" s="45"/>
      <c r="S133" s="45"/>
      <c r="T133" s="69"/>
      <c r="U133" s="45"/>
      <c r="V133" s="45"/>
      <c r="W133" s="45"/>
      <c r="X133" s="45"/>
      <c r="Y133" s="69"/>
      <c r="Z133" s="45"/>
      <c r="AA133" s="45"/>
      <c r="AB133" s="70"/>
      <c r="AC133" s="70"/>
      <c r="AD133" s="70"/>
      <c r="AE133" s="70"/>
      <c r="AF133" s="45"/>
      <c r="AG133" s="71"/>
      <c r="AH133" s="71"/>
      <c r="AI133" s="45"/>
      <c r="AJ133" s="45"/>
      <c r="AK133" s="45"/>
      <c r="AL133" s="45"/>
      <c r="AM133" s="45"/>
      <c r="AN133" s="45"/>
    </row>
    <row r="134">
      <c r="A134" s="45"/>
      <c r="B134" s="45"/>
      <c r="C134" s="45"/>
      <c r="D134" s="45"/>
      <c r="E134" s="45"/>
      <c r="F134" s="45"/>
      <c r="G134" s="69"/>
      <c r="H134" s="45"/>
      <c r="I134" s="45"/>
      <c r="J134" s="69"/>
      <c r="K134" s="45"/>
      <c r="L134" s="45"/>
      <c r="M134" s="45"/>
      <c r="N134" s="69"/>
      <c r="O134" s="45"/>
      <c r="P134" s="45"/>
      <c r="Q134" s="69"/>
      <c r="R134" s="45"/>
      <c r="S134" s="45"/>
      <c r="T134" s="69"/>
      <c r="U134" s="45"/>
      <c r="V134" s="45"/>
      <c r="W134" s="45"/>
      <c r="X134" s="45"/>
      <c r="Y134" s="69"/>
      <c r="Z134" s="45"/>
      <c r="AA134" s="45"/>
      <c r="AB134" s="70"/>
      <c r="AC134" s="70"/>
      <c r="AD134" s="70"/>
      <c r="AE134" s="70"/>
      <c r="AF134" s="45"/>
      <c r="AG134" s="71"/>
      <c r="AH134" s="71"/>
      <c r="AI134" s="45"/>
      <c r="AJ134" s="45"/>
      <c r="AK134" s="45"/>
      <c r="AL134" s="45"/>
      <c r="AM134" s="45"/>
      <c r="AN134" s="45"/>
    </row>
    <row r="135">
      <c r="A135" s="45"/>
      <c r="B135" s="45"/>
      <c r="C135" s="45"/>
      <c r="D135" s="45"/>
      <c r="E135" s="45"/>
      <c r="F135" s="45"/>
      <c r="G135" s="69"/>
      <c r="H135" s="45"/>
      <c r="I135" s="45"/>
      <c r="J135" s="69"/>
      <c r="K135" s="45"/>
      <c r="L135" s="45"/>
      <c r="M135" s="45"/>
      <c r="N135" s="69"/>
      <c r="O135" s="45"/>
      <c r="P135" s="45"/>
      <c r="Q135" s="69"/>
      <c r="R135" s="45"/>
      <c r="S135" s="45"/>
      <c r="T135" s="69"/>
      <c r="U135" s="45"/>
      <c r="V135" s="45"/>
      <c r="W135" s="45"/>
      <c r="X135" s="45"/>
      <c r="Y135" s="69"/>
      <c r="Z135" s="45"/>
      <c r="AA135" s="45"/>
      <c r="AB135" s="70"/>
      <c r="AC135" s="70"/>
      <c r="AD135" s="70"/>
      <c r="AE135" s="70"/>
      <c r="AF135" s="45"/>
      <c r="AG135" s="71"/>
      <c r="AH135" s="71"/>
      <c r="AI135" s="45"/>
      <c r="AJ135" s="45"/>
      <c r="AK135" s="45"/>
      <c r="AL135" s="45"/>
      <c r="AM135" s="45"/>
      <c r="AN135" s="45"/>
    </row>
    <row r="136">
      <c r="A136" s="45"/>
      <c r="B136" s="45"/>
      <c r="C136" s="45"/>
      <c r="D136" s="45"/>
      <c r="E136" s="45"/>
      <c r="F136" s="45"/>
      <c r="G136" s="69"/>
      <c r="H136" s="45"/>
      <c r="I136" s="45"/>
      <c r="J136" s="69"/>
      <c r="K136" s="45"/>
      <c r="L136" s="45"/>
      <c r="M136" s="45"/>
      <c r="N136" s="69"/>
      <c r="O136" s="45"/>
      <c r="P136" s="45"/>
      <c r="Q136" s="69"/>
      <c r="R136" s="45"/>
      <c r="S136" s="45"/>
      <c r="T136" s="69"/>
      <c r="U136" s="45"/>
      <c r="V136" s="45"/>
      <c r="W136" s="45"/>
      <c r="X136" s="45"/>
      <c r="Y136" s="69"/>
      <c r="Z136" s="45"/>
      <c r="AA136" s="45"/>
      <c r="AB136" s="70"/>
      <c r="AC136" s="70"/>
      <c r="AD136" s="70"/>
      <c r="AE136" s="70"/>
      <c r="AF136" s="45"/>
      <c r="AG136" s="71"/>
      <c r="AH136" s="71"/>
      <c r="AI136" s="45"/>
      <c r="AJ136" s="45"/>
      <c r="AK136" s="45"/>
      <c r="AL136" s="45"/>
      <c r="AM136" s="45"/>
      <c r="AN136" s="45"/>
    </row>
    <row r="137">
      <c r="A137" s="45"/>
      <c r="B137" s="45"/>
      <c r="C137" s="45"/>
      <c r="D137" s="45"/>
      <c r="E137" s="45"/>
      <c r="F137" s="45"/>
      <c r="G137" s="69"/>
      <c r="H137" s="45"/>
      <c r="I137" s="45"/>
      <c r="J137" s="69"/>
      <c r="K137" s="45"/>
      <c r="L137" s="45"/>
      <c r="M137" s="45"/>
      <c r="N137" s="69"/>
      <c r="O137" s="45"/>
      <c r="P137" s="45"/>
      <c r="Q137" s="69"/>
      <c r="R137" s="45"/>
      <c r="S137" s="45"/>
      <c r="T137" s="69"/>
      <c r="U137" s="45"/>
      <c r="V137" s="45"/>
      <c r="W137" s="45"/>
      <c r="X137" s="45"/>
      <c r="Y137" s="69"/>
      <c r="Z137" s="45"/>
      <c r="AA137" s="45"/>
      <c r="AB137" s="70"/>
      <c r="AC137" s="70"/>
      <c r="AD137" s="70"/>
      <c r="AE137" s="70"/>
      <c r="AF137" s="45"/>
      <c r="AG137" s="71"/>
      <c r="AH137" s="71"/>
      <c r="AI137" s="45"/>
      <c r="AJ137" s="45"/>
      <c r="AK137" s="45"/>
      <c r="AL137" s="45"/>
      <c r="AM137" s="45"/>
      <c r="AN137" s="45"/>
    </row>
    <row r="138">
      <c r="A138" s="45"/>
      <c r="B138" s="45"/>
      <c r="C138" s="45"/>
      <c r="D138" s="45"/>
      <c r="E138" s="45"/>
      <c r="F138" s="45"/>
      <c r="G138" s="69"/>
      <c r="H138" s="45"/>
      <c r="I138" s="45"/>
      <c r="J138" s="69"/>
      <c r="K138" s="45"/>
      <c r="L138" s="45"/>
      <c r="M138" s="45"/>
      <c r="N138" s="69"/>
      <c r="O138" s="45"/>
      <c r="P138" s="45"/>
      <c r="Q138" s="69"/>
      <c r="R138" s="45"/>
      <c r="S138" s="45"/>
      <c r="T138" s="69"/>
      <c r="U138" s="45"/>
      <c r="V138" s="45"/>
      <c r="W138" s="45"/>
      <c r="X138" s="45"/>
      <c r="Y138" s="69"/>
      <c r="Z138" s="45"/>
      <c r="AA138" s="45"/>
      <c r="AB138" s="70"/>
      <c r="AC138" s="70"/>
      <c r="AD138" s="70"/>
      <c r="AE138" s="70"/>
      <c r="AF138" s="45"/>
      <c r="AG138" s="71"/>
      <c r="AH138" s="71"/>
      <c r="AI138" s="45"/>
      <c r="AJ138" s="45"/>
      <c r="AK138" s="45"/>
      <c r="AL138" s="45"/>
      <c r="AM138" s="45"/>
      <c r="AN138" s="45"/>
    </row>
    <row r="139">
      <c r="A139" s="45"/>
      <c r="B139" s="45"/>
      <c r="C139" s="45"/>
      <c r="D139" s="45"/>
      <c r="E139" s="45"/>
      <c r="F139" s="45"/>
      <c r="G139" s="69"/>
      <c r="H139" s="45"/>
      <c r="I139" s="45"/>
      <c r="J139" s="69"/>
      <c r="K139" s="45"/>
      <c r="L139" s="45"/>
      <c r="M139" s="45"/>
      <c r="N139" s="69"/>
      <c r="O139" s="45"/>
      <c r="P139" s="45"/>
      <c r="Q139" s="69"/>
      <c r="R139" s="45"/>
      <c r="S139" s="45"/>
      <c r="T139" s="69"/>
      <c r="U139" s="45"/>
      <c r="V139" s="45"/>
      <c r="W139" s="45"/>
      <c r="X139" s="45"/>
      <c r="Y139" s="69"/>
      <c r="Z139" s="45"/>
      <c r="AA139" s="45"/>
      <c r="AB139" s="70"/>
      <c r="AC139" s="70"/>
      <c r="AD139" s="70"/>
      <c r="AE139" s="70"/>
      <c r="AF139" s="45"/>
      <c r="AG139" s="71"/>
      <c r="AH139" s="71"/>
      <c r="AI139" s="45"/>
      <c r="AJ139" s="45"/>
      <c r="AK139" s="45"/>
      <c r="AL139" s="45"/>
      <c r="AM139" s="45"/>
      <c r="AN139" s="45"/>
    </row>
    <row r="140">
      <c r="A140" s="45"/>
      <c r="B140" s="45"/>
      <c r="C140" s="45"/>
      <c r="D140" s="45"/>
      <c r="E140" s="45"/>
      <c r="F140" s="45"/>
      <c r="G140" s="69"/>
      <c r="H140" s="45"/>
      <c r="I140" s="45"/>
      <c r="J140" s="69"/>
      <c r="K140" s="45"/>
      <c r="L140" s="45"/>
      <c r="M140" s="45"/>
      <c r="N140" s="69"/>
      <c r="O140" s="45"/>
      <c r="P140" s="45"/>
      <c r="Q140" s="69"/>
      <c r="R140" s="45"/>
      <c r="S140" s="45"/>
      <c r="T140" s="69"/>
      <c r="U140" s="45"/>
      <c r="V140" s="45"/>
      <c r="W140" s="45"/>
      <c r="X140" s="45"/>
      <c r="Y140" s="69"/>
      <c r="Z140" s="45"/>
      <c r="AA140" s="45"/>
      <c r="AB140" s="70"/>
      <c r="AC140" s="70"/>
      <c r="AD140" s="70"/>
      <c r="AE140" s="70"/>
      <c r="AF140" s="45"/>
      <c r="AG140" s="71"/>
      <c r="AH140" s="71"/>
      <c r="AI140" s="45"/>
      <c r="AJ140" s="45"/>
      <c r="AK140" s="45"/>
      <c r="AL140" s="45"/>
      <c r="AM140" s="45"/>
      <c r="AN140" s="45"/>
    </row>
    <row r="141">
      <c r="A141" s="45"/>
      <c r="B141" s="45"/>
      <c r="C141" s="45"/>
      <c r="D141" s="45"/>
      <c r="E141" s="45"/>
      <c r="F141" s="45"/>
      <c r="G141" s="69"/>
      <c r="H141" s="45"/>
      <c r="I141" s="45"/>
      <c r="J141" s="69"/>
      <c r="K141" s="45"/>
      <c r="L141" s="45"/>
      <c r="M141" s="45"/>
      <c r="N141" s="69"/>
      <c r="O141" s="45"/>
      <c r="P141" s="45"/>
      <c r="Q141" s="69"/>
      <c r="R141" s="45"/>
      <c r="S141" s="45"/>
      <c r="T141" s="69"/>
      <c r="U141" s="45"/>
      <c r="V141" s="45"/>
      <c r="W141" s="45"/>
      <c r="X141" s="45"/>
      <c r="Y141" s="69"/>
      <c r="Z141" s="45"/>
      <c r="AA141" s="45"/>
      <c r="AB141" s="70"/>
      <c r="AC141" s="70"/>
      <c r="AD141" s="70"/>
      <c r="AE141" s="70"/>
      <c r="AF141" s="45"/>
      <c r="AG141" s="71"/>
      <c r="AH141" s="71"/>
      <c r="AI141" s="45"/>
      <c r="AJ141" s="45"/>
      <c r="AK141" s="45"/>
      <c r="AL141" s="45"/>
      <c r="AM141" s="45"/>
      <c r="AN141" s="45"/>
    </row>
    <row r="142">
      <c r="A142" s="45"/>
      <c r="B142" s="45"/>
      <c r="C142" s="45"/>
      <c r="D142" s="45"/>
      <c r="E142" s="45"/>
      <c r="F142" s="45"/>
      <c r="G142" s="69"/>
      <c r="H142" s="45"/>
      <c r="I142" s="45"/>
      <c r="J142" s="69"/>
      <c r="K142" s="45"/>
      <c r="L142" s="45"/>
      <c r="M142" s="45"/>
      <c r="N142" s="69"/>
      <c r="O142" s="45"/>
      <c r="P142" s="45"/>
      <c r="Q142" s="69"/>
      <c r="R142" s="45"/>
      <c r="S142" s="45"/>
      <c r="T142" s="69"/>
      <c r="U142" s="45"/>
      <c r="V142" s="45"/>
      <c r="W142" s="45"/>
      <c r="X142" s="45"/>
      <c r="Y142" s="69"/>
      <c r="Z142" s="45"/>
      <c r="AA142" s="45"/>
      <c r="AB142" s="70"/>
      <c r="AC142" s="70"/>
      <c r="AD142" s="70"/>
      <c r="AE142" s="70"/>
      <c r="AF142" s="45"/>
      <c r="AG142" s="71"/>
      <c r="AH142" s="71"/>
      <c r="AI142" s="45"/>
      <c r="AJ142" s="45"/>
      <c r="AK142" s="45"/>
      <c r="AL142" s="45"/>
      <c r="AM142" s="45"/>
      <c r="AN142" s="45"/>
    </row>
    <row r="143">
      <c r="A143" s="45"/>
      <c r="B143" s="45"/>
      <c r="C143" s="45"/>
      <c r="D143" s="45"/>
      <c r="E143" s="45"/>
      <c r="F143" s="45"/>
      <c r="G143" s="69"/>
      <c r="H143" s="45"/>
      <c r="I143" s="45"/>
      <c r="J143" s="69"/>
      <c r="K143" s="45"/>
      <c r="L143" s="45"/>
      <c r="M143" s="45"/>
      <c r="N143" s="69"/>
      <c r="O143" s="45"/>
      <c r="P143" s="45"/>
      <c r="Q143" s="69"/>
      <c r="R143" s="45"/>
      <c r="S143" s="45"/>
      <c r="T143" s="69"/>
      <c r="U143" s="45"/>
      <c r="V143" s="45"/>
      <c r="W143" s="45"/>
      <c r="X143" s="45"/>
      <c r="Y143" s="69"/>
      <c r="Z143" s="45"/>
      <c r="AA143" s="45"/>
      <c r="AB143" s="70"/>
      <c r="AC143" s="70"/>
      <c r="AD143" s="70"/>
      <c r="AE143" s="70"/>
      <c r="AF143" s="45"/>
      <c r="AG143" s="71"/>
      <c r="AH143" s="71"/>
      <c r="AI143" s="45"/>
      <c r="AJ143" s="45"/>
      <c r="AK143" s="45"/>
      <c r="AL143" s="45"/>
      <c r="AM143" s="45"/>
      <c r="AN143" s="45"/>
    </row>
    <row r="144">
      <c r="A144" s="45"/>
      <c r="B144" s="45"/>
      <c r="C144" s="45"/>
      <c r="D144" s="45"/>
      <c r="E144" s="45"/>
      <c r="F144" s="45"/>
      <c r="G144" s="69"/>
      <c r="H144" s="45"/>
      <c r="I144" s="45"/>
      <c r="J144" s="69"/>
      <c r="K144" s="45"/>
      <c r="L144" s="45"/>
      <c r="M144" s="45"/>
      <c r="N144" s="69"/>
      <c r="O144" s="45"/>
      <c r="P144" s="45"/>
      <c r="Q144" s="69"/>
      <c r="R144" s="45"/>
      <c r="S144" s="45"/>
      <c r="T144" s="69"/>
      <c r="U144" s="45"/>
      <c r="V144" s="45"/>
      <c r="W144" s="45"/>
      <c r="X144" s="45"/>
      <c r="Y144" s="69"/>
      <c r="Z144" s="45"/>
      <c r="AA144" s="45"/>
      <c r="AB144" s="70"/>
      <c r="AC144" s="70"/>
      <c r="AD144" s="70"/>
      <c r="AE144" s="70"/>
      <c r="AF144" s="45"/>
      <c r="AG144" s="71"/>
      <c r="AH144" s="71"/>
      <c r="AI144" s="45"/>
      <c r="AJ144" s="45"/>
      <c r="AK144" s="45"/>
      <c r="AL144" s="45"/>
      <c r="AM144" s="45"/>
      <c r="AN144" s="45"/>
    </row>
    <row r="145">
      <c r="A145" s="45"/>
      <c r="B145" s="45"/>
      <c r="C145" s="45"/>
      <c r="D145" s="45"/>
      <c r="E145" s="45"/>
      <c r="F145" s="45"/>
      <c r="G145" s="69"/>
      <c r="H145" s="45"/>
      <c r="I145" s="45"/>
      <c r="J145" s="69"/>
      <c r="K145" s="45"/>
      <c r="L145" s="45"/>
      <c r="M145" s="45"/>
      <c r="N145" s="69"/>
      <c r="O145" s="45"/>
      <c r="P145" s="45"/>
      <c r="Q145" s="69"/>
      <c r="R145" s="45"/>
      <c r="S145" s="45"/>
      <c r="T145" s="69"/>
      <c r="U145" s="45"/>
      <c r="V145" s="45"/>
      <c r="W145" s="45"/>
      <c r="X145" s="45"/>
      <c r="Y145" s="69"/>
      <c r="Z145" s="45"/>
      <c r="AA145" s="45"/>
      <c r="AB145" s="70"/>
      <c r="AC145" s="70"/>
      <c r="AD145" s="70"/>
      <c r="AE145" s="70"/>
      <c r="AF145" s="45"/>
      <c r="AG145" s="71"/>
      <c r="AH145" s="71"/>
      <c r="AI145" s="45"/>
      <c r="AJ145" s="45"/>
      <c r="AK145" s="45"/>
      <c r="AL145" s="45"/>
      <c r="AM145" s="45"/>
      <c r="AN145" s="45"/>
    </row>
    <row r="146">
      <c r="A146" s="45"/>
      <c r="B146" s="45"/>
      <c r="C146" s="45"/>
      <c r="D146" s="45"/>
      <c r="E146" s="45"/>
      <c r="F146" s="45"/>
      <c r="G146" s="69"/>
      <c r="H146" s="45"/>
      <c r="I146" s="45"/>
      <c r="J146" s="69"/>
      <c r="K146" s="45"/>
      <c r="L146" s="45"/>
      <c r="M146" s="45"/>
      <c r="N146" s="69"/>
      <c r="O146" s="45"/>
      <c r="P146" s="45"/>
      <c r="Q146" s="69"/>
      <c r="R146" s="45"/>
      <c r="S146" s="45"/>
      <c r="T146" s="69"/>
      <c r="U146" s="45"/>
      <c r="V146" s="45"/>
      <c r="W146" s="45"/>
      <c r="X146" s="45"/>
      <c r="Y146" s="69"/>
      <c r="Z146" s="45"/>
      <c r="AA146" s="45"/>
      <c r="AB146" s="70"/>
      <c r="AC146" s="70"/>
      <c r="AD146" s="70"/>
      <c r="AE146" s="70"/>
      <c r="AF146" s="45"/>
      <c r="AG146" s="71"/>
      <c r="AH146" s="71"/>
      <c r="AI146" s="45"/>
      <c r="AJ146" s="45"/>
      <c r="AK146" s="45"/>
      <c r="AL146" s="45"/>
      <c r="AM146" s="45"/>
      <c r="AN146" s="45"/>
    </row>
    <row r="147">
      <c r="A147" s="45"/>
      <c r="B147" s="45"/>
      <c r="C147" s="45"/>
      <c r="D147" s="45"/>
      <c r="E147" s="45"/>
      <c r="F147" s="45"/>
      <c r="G147" s="69"/>
      <c r="H147" s="45"/>
      <c r="I147" s="45"/>
      <c r="J147" s="69"/>
      <c r="K147" s="45"/>
      <c r="L147" s="45"/>
      <c r="M147" s="45"/>
      <c r="N147" s="69"/>
      <c r="O147" s="45"/>
      <c r="P147" s="45"/>
      <c r="Q147" s="69"/>
      <c r="R147" s="45"/>
      <c r="S147" s="45"/>
      <c r="T147" s="69"/>
      <c r="U147" s="45"/>
      <c r="V147" s="45"/>
      <c r="W147" s="45"/>
      <c r="X147" s="45"/>
      <c r="Y147" s="69"/>
      <c r="Z147" s="45"/>
      <c r="AA147" s="45"/>
      <c r="AB147" s="70"/>
      <c r="AC147" s="70"/>
      <c r="AD147" s="70"/>
      <c r="AE147" s="70"/>
      <c r="AF147" s="45"/>
      <c r="AG147" s="71"/>
      <c r="AH147" s="71"/>
      <c r="AI147" s="45"/>
      <c r="AJ147" s="45"/>
      <c r="AK147" s="45"/>
      <c r="AL147" s="45"/>
      <c r="AM147" s="45"/>
      <c r="AN147" s="45"/>
    </row>
    <row r="148">
      <c r="A148" s="45"/>
      <c r="B148" s="45"/>
      <c r="C148" s="45"/>
      <c r="D148" s="45"/>
      <c r="E148" s="45"/>
      <c r="F148" s="45"/>
      <c r="G148" s="69"/>
      <c r="H148" s="45"/>
      <c r="I148" s="45"/>
      <c r="J148" s="69"/>
      <c r="K148" s="45"/>
      <c r="L148" s="45"/>
      <c r="M148" s="45"/>
      <c r="N148" s="69"/>
      <c r="O148" s="45"/>
      <c r="P148" s="45"/>
      <c r="Q148" s="69"/>
      <c r="R148" s="45"/>
      <c r="S148" s="45"/>
      <c r="T148" s="69"/>
      <c r="U148" s="45"/>
      <c r="V148" s="45"/>
      <c r="W148" s="45"/>
      <c r="X148" s="45"/>
      <c r="Y148" s="69"/>
      <c r="Z148" s="45"/>
      <c r="AA148" s="45"/>
      <c r="AB148" s="70"/>
      <c r="AC148" s="70"/>
      <c r="AD148" s="70"/>
      <c r="AE148" s="70"/>
      <c r="AF148" s="45"/>
      <c r="AG148" s="71"/>
      <c r="AH148" s="71"/>
      <c r="AI148" s="45"/>
      <c r="AJ148" s="45"/>
      <c r="AK148" s="45"/>
      <c r="AL148" s="45"/>
      <c r="AM148" s="45"/>
      <c r="AN148" s="45"/>
    </row>
    <row r="149">
      <c r="A149" s="45"/>
      <c r="B149" s="45"/>
      <c r="C149" s="45"/>
      <c r="D149" s="45"/>
      <c r="E149" s="45"/>
      <c r="F149" s="45"/>
      <c r="G149" s="69"/>
      <c r="H149" s="45"/>
      <c r="I149" s="45"/>
      <c r="J149" s="69"/>
      <c r="K149" s="45"/>
      <c r="L149" s="45"/>
      <c r="M149" s="45"/>
      <c r="N149" s="69"/>
      <c r="O149" s="45"/>
      <c r="P149" s="45"/>
      <c r="Q149" s="69"/>
      <c r="R149" s="45"/>
      <c r="S149" s="45"/>
      <c r="T149" s="69"/>
      <c r="U149" s="45"/>
      <c r="V149" s="45"/>
      <c r="W149" s="45"/>
      <c r="X149" s="45"/>
      <c r="Y149" s="69"/>
      <c r="Z149" s="45"/>
      <c r="AA149" s="45"/>
      <c r="AB149" s="70"/>
      <c r="AC149" s="70"/>
      <c r="AD149" s="70"/>
      <c r="AE149" s="70"/>
      <c r="AF149" s="45"/>
      <c r="AG149" s="71"/>
      <c r="AH149" s="71"/>
      <c r="AI149" s="45"/>
      <c r="AJ149" s="45"/>
      <c r="AK149" s="45"/>
      <c r="AL149" s="45"/>
      <c r="AM149" s="45"/>
      <c r="AN149" s="45"/>
    </row>
    <row r="150">
      <c r="A150" s="45"/>
      <c r="B150" s="45"/>
      <c r="C150" s="45"/>
      <c r="D150" s="45"/>
      <c r="E150" s="45"/>
      <c r="F150" s="45"/>
      <c r="G150" s="69"/>
      <c r="H150" s="45"/>
      <c r="I150" s="45"/>
      <c r="J150" s="69"/>
      <c r="K150" s="45"/>
      <c r="L150" s="45"/>
      <c r="M150" s="45"/>
      <c r="N150" s="69"/>
      <c r="O150" s="45"/>
      <c r="P150" s="45"/>
      <c r="Q150" s="69"/>
      <c r="R150" s="45"/>
      <c r="S150" s="45"/>
      <c r="T150" s="69"/>
      <c r="U150" s="45"/>
      <c r="V150" s="45"/>
      <c r="W150" s="45"/>
      <c r="X150" s="45"/>
      <c r="Y150" s="69"/>
      <c r="Z150" s="45"/>
      <c r="AA150" s="45"/>
      <c r="AB150" s="70"/>
      <c r="AC150" s="70"/>
      <c r="AD150" s="70"/>
      <c r="AE150" s="70"/>
      <c r="AF150" s="45"/>
      <c r="AG150" s="71"/>
      <c r="AH150" s="71"/>
      <c r="AI150" s="45"/>
      <c r="AJ150" s="45"/>
      <c r="AK150" s="45"/>
      <c r="AL150" s="45"/>
      <c r="AM150" s="45"/>
      <c r="AN150" s="45"/>
    </row>
    <row r="151">
      <c r="A151" s="45"/>
      <c r="B151" s="45"/>
      <c r="C151" s="45"/>
      <c r="D151" s="45"/>
      <c r="E151" s="45"/>
      <c r="F151" s="45"/>
      <c r="G151" s="69"/>
      <c r="H151" s="45"/>
      <c r="I151" s="45"/>
      <c r="J151" s="69"/>
      <c r="K151" s="45"/>
      <c r="L151" s="45"/>
      <c r="M151" s="45"/>
      <c r="N151" s="69"/>
      <c r="O151" s="45"/>
      <c r="P151" s="45"/>
      <c r="Q151" s="69"/>
      <c r="R151" s="45"/>
      <c r="S151" s="45"/>
      <c r="T151" s="69"/>
      <c r="U151" s="45"/>
      <c r="V151" s="45"/>
      <c r="W151" s="45"/>
      <c r="X151" s="45"/>
      <c r="Y151" s="69"/>
      <c r="Z151" s="45"/>
      <c r="AA151" s="45"/>
      <c r="AB151" s="70"/>
      <c r="AC151" s="70"/>
      <c r="AD151" s="70"/>
      <c r="AE151" s="70"/>
      <c r="AF151" s="45"/>
      <c r="AG151" s="71"/>
      <c r="AH151" s="71"/>
      <c r="AI151" s="45"/>
      <c r="AJ151" s="45"/>
      <c r="AK151" s="45"/>
      <c r="AL151" s="45"/>
      <c r="AM151" s="45"/>
      <c r="AN151" s="45"/>
    </row>
    <row r="152">
      <c r="A152" s="45"/>
      <c r="B152" s="45"/>
      <c r="C152" s="45"/>
      <c r="D152" s="45"/>
      <c r="E152" s="45"/>
      <c r="F152" s="45"/>
      <c r="G152" s="69"/>
      <c r="H152" s="45"/>
      <c r="I152" s="45"/>
      <c r="J152" s="69"/>
      <c r="K152" s="45"/>
      <c r="L152" s="45"/>
      <c r="M152" s="45"/>
      <c r="N152" s="69"/>
      <c r="O152" s="45"/>
      <c r="P152" s="45"/>
      <c r="Q152" s="69"/>
      <c r="R152" s="45"/>
      <c r="S152" s="45"/>
      <c r="T152" s="69"/>
      <c r="U152" s="45"/>
      <c r="V152" s="45"/>
      <c r="W152" s="45"/>
      <c r="X152" s="45"/>
      <c r="Y152" s="69"/>
      <c r="Z152" s="45"/>
      <c r="AA152" s="45"/>
      <c r="AB152" s="70"/>
      <c r="AC152" s="70"/>
      <c r="AD152" s="70"/>
      <c r="AE152" s="70"/>
      <c r="AF152" s="45"/>
      <c r="AG152" s="71"/>
      <c r="AH152" s="71"/>
      <c r="AI152" s="45"/>
      <c r="AJ152" s="45"/>
      <c r="AK152" s="45"/>
      <c r="AL152" s="45"/>
      <c r="AM152" s="45"/>
      <c r="AN152" s="45"/>
    </row>
    <row r="153">
      <c r="A153" s="45"/>
      <c r="B153" s="45"/>
      <c r="C153" s="45"/>
      <c r="D153" s="45"/>
      <c r="E153" s="45"/>
      <c r="F153" s="45"/>
      <c r="G153" s="69"/>
      <c r="H153" s="45"/>
      <c r="I153" s="45"/>
      <c r="J153" s="69"/>
      <c r="K153" s="45"/>
      <c r="L153" s="45"/>
      <c r="M153" s="45"/>
      <c r="N153" s="69"/>
      <c r="O153" s="45"/>
      <c r="P153" s="45"/>
      <c r="Q153" s="69"/>
      <c r="R153" s="45"/>
      <c r="S153" s="45"/>
      <c r="T153" s="69"/>
      <c r="U153" s="45"/>
      <c r="V153" s="45"/>
      <c r="W153" s="45"/>
      <c r="X153" s="45"/>
      <c r="Y153" s="69"/>
      <c r="Z153" s="45"/>
      <c r="AA153" s="45"/>
      <c r="AB153" s="70"/>
      <c r="AC153" s="70"/>
      <c r="AD153" s="70"/>
      <c r="AE153" s="70"/>
      <c r="AF153" s="45"/>
      <c r="AG153" s="71"/>
      <c r="AH153" s="71"/>
      <c r="AI153" s="45"/>
      <c r="AJ153" s="45"/>
      <c r="AK153" s="45"/>
      <c r="AL153" s="45"/>
      <c r="AM153" s="45"/>
      <c r="AN153" s="45"/>
    </row>
    <row r="154">
      <c r="A154" s="45"/>
      <c r="B154" s="45"/>
      <c r="C154" s="45"/>
      <c r="D154" s="45"/>
      <c r="E154" s="45"/>
      <c r="F154" s="45"/>
      <c r="G154" s="69"/>
      <c r="H154" s="45"/>
      <c r="I154" s="45"/>
      <c r="J154" s="69"/>
      <c r="K154" s="45"/>
      <c r="L154" s="45"/>
      <c r="M154" s="45"/>
      <c r="N154" s="69"/>
      <c r="O154" s="45"/>
      <c r="P154" s="45"/>
      <c r="Q154" s="69"/>
      <c r="R154" s="45"/>
      <c r="S154" s="45"/>
      <c r="T154" s="69"/>
      <c r="U154" s="45"/>
      <c r="V154" s="45"/>
      <c r="W154" s="45"/>
      <c r="X154" s="45"/>
      <c r="Y154" s="69"/>
      <c r="Z154" s="45"/>
      <c r="AA154" s="45"/>
      <c r="AB154" s="70"/>
      <c r="AC154" s="70"/>
      <c r="AD154" s="70"/>
      <c r="AE154" s="70"/>
      <c r="AF154" s="45"/>
      <c r="AG154" s="71"/>
      <c r="AH154" s="71"/>
      <c r="AI154" s="45"/>
      <c r="AJ154" s="45"/>
      <c r="AK154" s="45"/>
      <c r="AL154" s="45"/>
      <c r="AM154" s="45"/>
      <c r="AN154" s="45"/>
    </row>
    <row r="155">
      <c r="A155" s="45"/>
      <c r="B155" s="45"/>
      <c r="C155" s="45"/>
      <c r="D155" s="45"/>
      <c r="E155" s="45"/>
      <c r="F155" s="45"/>
      <c r="G155" s="69"/>
      <c r="H155" s="45"/>
      <c r="I155" s="45"/>
      <c r="J155" s="69"/>
      <c r="K155" s="45"/>
      <c r="L155" s="45"/>
      <c r="M155" s="45"/>
      <c r="N155" s="69"/>
      <c r="O155" s="45"/>
      <c r="P155" s="45"/>
      <c r="Q155" s="69"/>
      <c r="R155" s="45"/>
      <c r="S155" s="45"/>
      <c r="T155" s="69"/>
      <c r="U155" s="45"/>
      <c r="V155" s="45"/>
      <c r="W155" s="45"/>
      <c r="X155" s="45"/>
      <c r="Y155" s="69"/>
      <c r="Z155" s="45"/>
      <c r="AA155" s="45"/>
      <c r="AB155" s="70"/>
      <c r="AC155" s="70"/>
      <c r="AD155" s="70"/>
      <c r="AE155" s="70"/>
      <c r="AF155" s="45"/>
      <c r="AG155" s="71"/>
      <c r="AH155" s="71"/>
      <c r="AI155" s="45"/>
      <c r="AJ155" s="45"/>
      <c r="AK155" s="45"/>
      <c r="AL155" s="45"/>
      <c r="AM155" s="45"/>
      <c r="AN155" s="45"/>
    </row>
    <row r="156">
      <c r="A156" s="45"/>
      <c r="B156" s="45"/>
      <c r="C156" s="45"/>
      <c r="D156" s="45"/>
      <c r="E156" s="45"/>
      <c r="F156" s="45"/>
      <c r="G156" s="69"/>
      <c r="H156" s="45"/>
      <c r="I156" s="45"/>
      <c r="J156" s="69"/>
      <c r="K156" s="45"/>
      <c r="L156" s="45"/>
      <c r="M156" s="45"/>
      <c r="N156" s="69"/>
      <c r="O156" s="45"/>
      <c r="P156" s="45"/>
      <c r="Q156" s="69"/>
      <c r="R156" s="45"/>
      <c r="S156" s="45"/>
      <c r="T156" s="69"/>
      <c r="U156" s="45"/>
      <c r="V156" s="45"/>
      <c r="W156" s="45"/>
      <c r="X156" s="45"/>
      <c r="Y156" s="69"/>
      <c r="Z156" s="45"/>
      <c r="AA156" s="45"/>
      <c r="AB156" s="70"/>
      <c r="AC156" s="70"/>
      <c r="AD156" s="70"/>
      <c r="AE156" s="70"/>
      <c r="AF156" s="45"/>
      <c r="AG156" s="71"/>
      <c r="AH156" s="71"/>
      <c r="AI156" s="45"/>
      <c r="AJ156" s="45"/>
      <c r="AK156" s="45"/>
      <c r="AL156" s="45"/>
      <c r="AM156" s="45"/>
      <c r="AN156" s="45"/>
    </row>
    <row r="157">
      <c r="A157" s="45"/>
      <c r="B157" s="45"/>
      <c r="C157" s="45"/>
      <c r="D157" s="45"/>
      <c r="E157" s="45"/>
      <c r="F157" s="45"/>
      <c r="G157" s="69"/>
      <c r="H157" s="45"/>
      <c r="I157" s="45"/>
      <c r="J157" s="69"/>
      <c r="K157" s="45"/>
      <c r="L157" s="45"/>
      <c r="M157" s="45"/>
      <c r="N157" s="69"/>
      <c r="O157" s="45"/>
      <c r="P157" s="45"/>
      <c r="Q157" s="69"/>
      <c r="R157" s="45"/>
      <c r="S157" s="45"/>
      <c r="T157" s="69"/>
      <c r="U157" s="45"/>
      <c r="V157" s="45"/>
      <c r="W157" s="45"/>
      <c r="X157" s="45"/>
      <c r="Y157" s="69"/>
      <c r="Z157" s="45"/>
      <c r="AA157" s="45"/>
      <c r="AB157" s="70"/>
      <c r="AC157" s="70"/>
      <c r="AD157" s="70"/>
      <c r="AE157" s="70"/>
      <c r="AF157" s="45"/>
      <c r="AG157" s="71"/>
      <c r="AH157" s="71"/>
      <c r="AI157" s="45"/>
      <c r="AJ157" s="45"/>
      <c r="AK157" s="45"/>
      <c r="AL157" s="45"/>
      <c r="AM157" s="45"/>
      <c r="AN157" s="45"/>
    </row>
    <row r="158">
      <c r="A158" s="45"/>
      <c r="B158" s="45"/>
      <c r="C158" s="45"/>
      <c r="D158" s="45"/>
      <c r="E158" s="45"/>
      <c r="F158" s="45"/>
      <c r="G158" s="69"/>
      <c r="H158" s="45"/>
      <c r="I158" s="45"/>
      <c r="J158" s="69"/>
      <c r="K158" s="45"/>
      <c r="L158" s="45"/>
      <c r="M158" s="45"/>
      <c r="N158" s="69"/>
      <c r="O158" s="45"/>
      <c r="P158" s="45"/>
      <c r="Q158" s="69"/>
      <c r="R158" s="45"/>
      <c r="S158" s="45"/>
      <c r="T158" s="69"/>
      <c r="U158" s="45"/>
      <c r="V158" s="45"/>
      <c r="W158" s="45"/>
      <c r="X158" s="45"/>
      <c r="Y158" s="69"/>
      <c r="Z158" s="45"/>
      <c r="AA158" s="45"/>
      <c r="AB158" s="70"/>
      <c r="AC158" s="70"/>
      <c r="AD158" s="70"/>
      <c r="AE158" s="70"/>
      <c r="AF158" s="45"/>
      <c r="AG158" s="71"/>
      <c r="AH158" s="71"/>
      <c r="AI158" s="45"/>
      <c r="AJ158" s="45"/>
      <c r="AK158" s="45"/>
      <c r="AL158" s="45"/>
      <c r="AM158" s="45"/>
      <c r="AN158" s="45"/>
    </row>
    <row r="159">
      <c r="A159" s="45"/>
      <c r="B159" s="45"/>
      <c r="C159" s="45"/>
      <c r="D159" s="45"/>
      <c r="E159" s="45"/>
      <c r="F159" s="45"/>
      <c r="G159" s="69"/>
      <c r="H159" s="45"/>
      <c r="I159" s="45"/>
      <c r="J159" s="69"/>
      <c r="K159" s="45"/>
      <c r="L159" s="45"/>
      <c r="M159" s="45"/>
      <c r="N159" s="69"/>
      <c r="O159" s="45"/>
      <c r="P159" s="45"/>
      <c r="Q159" s="69"/>
      <c r="R159" s="45"/>
      <c r="S159" s="45"/>
      <c r="T159" s="69"/>
      <c r="U159" s="45"/>
      <c r="V159" s="45"/>
      <c r="W159" s="45"/>
      <c r="X159" s="45"/>
      <c r="Y159" s="69"/>
      <c r="Z159" s="45"/>
      <c r="AA159" s="45"/>
      <c r="AB159" s="70"/>
      <c r="AC159" s="70"/>
      <c r="AD159" s="70"/>
      <c r="AE159" s="70"/>
      <c r="AF159" s="45"/>
      <c r="AG159" s="71"/>
      <c r="AH159" s="71"/>
      <c r="AI159" s="45"/>
      <c r="AJ159" s="45"/>
      <c r="AK159" s="45"/>
      <c r="AL159" s="45"/>
      <c r="AM159" s="45"/>
      <c r="AN159" s="45"/>
    </row>
    <row r="160">
      <c r="A160" s="45"/>
      <c r="B160" s="45"/>
      <c r="C160" s="45"/>
      <c r="D160" s="45"/>
      <c r="E160" s="45"/>
      <c r="F160" s="45"/>
      <c r="G160" s="69"/>
      <c r="H160" s="45"/>
      <c r="I160" s="45"/>
      <c r="J160" s="69"/>
      <c r="K160" s="45"/>
      <c r="L160" s="45"/>
      <c r="M160" s="45"/>
      <c r="N160" s="69"/>
      <c r="O160" s="45"/>
      <c r="P160" s="45"/>
      <c r="Q160" s="69"/>
      <c r="R160" s="45"/>
      <c r="S160" s="45"/>
      <c r="T160" s="69"/>
      <c r="U160" s="45"/>
      <c r="V160" s="45"/>
      <c r="W160" s="45"/>
      <c r="X160" s="45"/>
      <c r="Y160" s="69"/>
      <c r="Z160" s="45"/>
      <c r="AA160" s="45"/>
      <c r="AB160" s="70"/>
      <c r="AC160" s="70"/>
      <c r="AD160" s="70"/>
      <c r="AE160" s="70"/>
      <c r="AF160" s="45"/>
      <c r="AG160" s="71"/>
      <c r="AH160" s="71"/>
      <c r="AI160" s="45"/>
      <c r="AJ160" s="45"/>
      <c r="AK160" s="45"/>
      <c r="AL160" s="45"/>
      <c r="AM160" s="45"/>
      <c r="AN160" s="45"/>
    </row>
    <row r="161">
      <c r="A161" s="45"/>
      <c r="B161" s="45"/>
      <c r="C161" s="45"/>
      <c r="D161" s="45"/>
      <c r="E161" s="45"/>
      <c r="F161" s="45"/>
      <c r="G161" s="69"/>
      <c r="H161" s="45"/>
      <c r="I161" s="45"/>
      <c r="J161" s="69"/>
      <c r="K161" s="45"/>
      <c r="L161" s="45"/>
      <c r="M161" s="45"/>
      <c r="N161" s="69"/>
      <c r="O161" s="45"/>
      <c r="P161" s="45"/>
      <c r="Q161" s="69"/>
      <c r="R161" s="45"/>
      <c r="S161" s="45"/>
      <c r="T161" s="69"/>
      <c r="U161" s="45"/>
      <c r="V161" s="45"/>
      <c r="W161" s="45"/>
      <c r="X161" s="45"/>
      <c r="Y161" s="69"/>
      <c r="Z161" s="45"/>
      <c r="AA161" s="45"/>
      <c r="AB161" s="70"/>
      <c r="AC161" s="70"/>
      <c r="AD161" s="70"/>
      <c r="AE161" s="70"/>
      <c r="AF161" s="45"/>
      <c r="AG161" s="71"/>
      <c r="AH161" s="71"/>
      <c r="AI161" s="45"/>
      <c r="AJ161" s="45"/>
      <c r="AK161" s="45"/>
      <c r="AL161" s="45"/>
      <c r="AM161" s="45"/>
      <c r="AN161" s="45"/>
    </row>
    <row r="162">
      <c r="A162" s="45"/>
      <c r="B162" s="45"/>
      <c r="C162" s="45"/>
      <c r="D162" s="45"/>
      <c r="E162" s="45"/>
      <c r="F162" s="45"/>
      <c r="G162" s="69"/>
      <c r="H162" s="45"/>
      <c r="I162" s="45"/>
      <c r="J162" s="69"/>
      <c r="K162" s="45"/>
      <c r="L162" s="45"/>
      <c r="M162" s="45"/>
      <c r="N162" s="69"/>
      <c r="O162" s="45"/>
      <c r="P162" s="45"/>
      <c r="Q162" s="69"/>
      <c r="R162" s="45"/>
      <c r="S162" s="45"/>
      <c r="T162" s="69"/>
      <c r="U162" s="45"/>
      <c r="V162" s="45"/>
      <c r="W162" s="45"/>
      <c r="X162" s="45"/>
      <c r="Y162" s="69"/>
      <c r="Z162" s="45"/>
      <c r="AA162" s="45"/>
      <c r="AB162" s="70"/>
      <c r="AC162" s="70"/>
      <c r="AD162" s="70"/>
      <c r="AE162" s="70"/>
      <c r="AF162" s="45"/>
      <c r="AG162" s="71"/>
      <c r="AH162" s="71"/>
      <c r="AI162" s="45"/>
      <c r="AJ162" s="45"/>
      <c r="AK162" s="45"/>
      <c r="AL162" s="45"/>
      <c r="AM162" s="45"/>
      <c r="AN162" s="45"/>
    </row>
    <row r="163">
      <c r="A163" s="45"/>
      <c r="B163" s="45"/>
      <c r="C163" s="45"/>
      <c r="D163" s="45"/>
      <c r="E163" s="45"/>
      <c r="F163" s="45"/>
      <c r="G163" s="69"/>
      <c r="H163" s="45"/>
      <c r="I163" s="45"/>
      <c r="J163" s="69"/>
      <c r="K163" s="45"/>
      <c r="L163" s="45"/>
      <c r="M163" s="45"/>
      <c r="N163" s="69"/>
      <c r="O163" s="45"/>
      <c r="P163" s="45"/>
      <c r="Q163" s="69"/>
      <c r="R163" s="45"/>
      <c r="S163" s="45"/>
      <c r="T163" s="69"/>
      <c r="U163" s="45"/>
      <c r="V163" s="45"/>
      <c r="W163" s="45"/>
      <c r="X163" s="45"/>
      <c r="Y163" s="69"/>
      <c r="Z163" s="45"/>
      <c r="AA163" s="45"/>
      <c r="AB163" s="70"/>
      <c r="AC163" s="70"/>
      <c r="AD163" s="70"/>
      <c r="AE163" s="70"/>
      <c r="AF163" s="45"/>
      <c r="AG163" s="71"/>
      <c r="AH163" s="71"/>
      <c r="AI163" s="45"/>
      <c r="AJ163" s="45"/>
      <c r="AK163" s="45"/>
      <c r="AL163" s="45"/>
      <c r="AM163" s="45"/>
      <c r="AN163" s="45"/>
    </row>
    <row r="164">
      <c r="A164" s="45"/>
      <c r="B164" s="45"/>
      <c r="C164" s="45"/>
      <c r="D164" s="45"/>
      <c r="E164" s="45"/>
      <c r="F164" s="45"/>
      <c r="G164" s="69"/>
      <c r="H164" s="45"/>
      <c r="I164" s="45"/>
      <c r="J164" s="69"/>
      <c r="K164" s="45"/>
      <c r="L164" s="45"/>
      <c r="M164" s="45"/>
      <c r="N164" s="69"/>
      <c r="O164" s="45"/>
      <c r="P164" s="45"/>
      <c r="Q164" s="69"/>
      <c r="R164" s="45"/>
      <c r="S164" s="45"/>
      <c r="T164" s="69"/>
      <c r="U164" s="45"/>
      <c r="V164" s="45"/>
      <c r="W164" s="45"/>
      <c r="X164" s="45"/>
      <c r="Y164" s="69"/>
      <c r="Z164" s="45"/>
      <c r="AA164" s="45"/>
      <c r="AB164" s="70"/>
      <c r="AC164" s="70"/>
      <c r="AD164" s="70"/>
      <c r="AE164" s="70"/>
      <c r="AF164" s="45"/>
      <c r="AG164" s="71"/>
      <c r="AH164" s="71"/>
      <c r="AI164" s="45"/>
      <c r="AJ164" s="45"/>
      <c r="AK164" s="45"/>
      <c r="AL164" s="45"/>
      <c r="AM164" s="45"/>
      <c r="AN164" s="45"/>
    </row>
    <row r="165">
      <c r="A165" s="45"/>
      <c r="B165" s="45"/>
      <c r="C165" s="45"/>
      <c r="D165" s="45"/>
      <c r="E165" s="45"/>
      <c r="F165" s="45"/>
      <c r="G165" s="69"/>
      <c r="H165" s="45"/>
      <c r="I165" s="45"/>
      <c r="J165" s="69"/>
      <c r="K165" s="45"/>
      <c r="L165" s="45"/>
      <c r="M165" s="45"/>
      <c r="N165" s="69"/>
      <c r="O165" s="45"/>
      <c r="P165" s="45"/>
      <c r="Q165" s="69"/>
      <c r="R165" s="45"/>
      <c r="S165" s="45"/>
      <c r="T165" s="69"/>
      <c r="U165" s="45"/>
      <c r="V165" s="45"/>
      <c r="W165" s="45"/>
      <c r="X165" s="45"/>
      <c r="Y165" s="69"/>
      <c r="Z165" s="45"/>
      <c r="AA165" s="45"/>
      <c r="AB165" s="70"/>
      <c r="AC165" s="70"/>
      <c r="AD165" s="70"/>
      <c r="AE165" s="70"/>
      <c r="AF165" s="45"/>
      <c r="AG165" s="71"/>
      <c r="AH165" s="71"/>
      <c r="AI165" s="45"/>
      <c r="AJ165" s="45"/>
      <c r="AK165" s="45"/>
      <c r="AL165" s="45"/>
      <c r="AM165" s="45"/>
      <c r="AN165" s="45"/>
    </row>
    <row r="166">
      <c r="A166" s="45"/>
      <c r="B166" s="45"/>
      <c r="C166" s="45"/>
      <c r="D166" s="45"/>
      <c r="E166" s="45"/>
      <c r="F166" s="45"/>
      <c r="G166" s="69"/>
      <c r="H166" s="45"/>
      <c r="I166" s="45"/>
      <c r="J166" s="69"/>
      <c r="K166" s="45"/>
      <c r="L166" s="45"/>
      <c r="M166" s="45"/>
      <c r="N166" s="69"/>
      <c r="O166" s="45"/>
      <c r="P166" s="45"/>
      <c r="Q166" s="69"/>
      <c r="R166" s="45"/>
      <c r="S166" s="45"/>
      <c r="T166" s="69"/>
      <c r="U166" s="45"/>
      <c r="V166" s="45"/>
      <c r="W166" s="45"/>
      <c r="X166" s="45"/>
      <c r="Y166" s="69"/>
      <c r="Z166" s="45"/>
      <c r="AA166" s="45"/>
      <c r="AB166" s="70"/>
      <c r="AC166" s="70"/>
      <c r="AD166" s="70"/>
      <c r="AE166" s="70"/>
      <c r="AF166" s="45"/>
      <c r="AG166" s="71"/>
      <c r="AH166" s="71"/>
      <c r="AI166" s="45"/>
      <c r="AJ166" s="45"/>
      <c r="AK166" s="45"/>
      <c r="AL166" s="45"/>
      <c r="AM166" s="45"/>
      <c r="AN166" s="45"/>
    </row>
    <row r="167">
      <c r="A167" s="45"/>
      <c r="B167" s="45"/>
      <c r="C167" s="45"/>
      <c r="D167" s="45"/>
      <c r="E167" s="45"/>
      <c r="F167" s="45"/>
      <c r="G167" s="69"/>
      <c r="H167" s="45"/>
      <c r="I167" s="45"/>
      <c r="J167" s="69"/>
      <c r="K167" s="45"/>
      <c r="L167" s="45"/>
      <c r="M167" s="45"/>
      <c r="N167" s="69"/>
      <c r="O167" s="45"/>
      <c r="P167" s="45"/>
      <c r="Q167" s="69"/>
      <c r="R167" s="45"/>
      <c r="S167" s="45"/>
      <c r="T167" s="69"/>
      <c r="U167" s="45"/>
      <c r="V167" s="45"/>
      <c r="W167" s="45"/>
      <c r="X167" s="45"/>
      <c r="Y167" s="69"/>
      <c r="Z167" s="45"/>
      <c r="AA167" s="45"/>
      <c r="AB167" s="70"/>
      <c r="AC167" s="70"/>
      <c r="AD167" s="70"/>
      <c r="AE167" s="70"/>
      <c r="AF167" s="45"/>
      <c r="AG167" s="71"/>
      <c r="AH167" s="71"/>
      <c r="AI167" s="45"/>
      <c r="AJ167" s="45"/>
      <c r="AK167" s="45"/>
      <c r="AL167" s="45"/>
      <c r="AM167" s="45"/>
      <c r="AN167" s="45"/>
    </row>
    <row r="168">
      <c r="A168" s="45"/>
      <c r="B168" s="45"/>
      <c r="C168" s="45"/>
      <c r="D168" s="45"/>
      <c r="E168" s="45"/>
      <c r="F168" s="45"/>
      <c r="G168" s="69"/>
      <c r="H168" s="45"/>
      <c r="I168" s="45"/>
      <c r="J168" s="69"/>
      <c r="K168" s="45"/>
      <c r="L168" s="45"/>
      <c r="M168" s="45"/>
      <c r="N168" s="69"/>
      <c r="O168" s="45"/>
      <c r="P168" s="45"/>
      <c r="Q168" s="69"/>
      <c r="R168" s="45"/>
      <c r="S168" s="45"/>
      <c r="T168" s="69"/>
      <c r="U168" s="45"/>
      <c r="V168" s="45"/>
      <c r="W168" s="45"/>
      <c r="X168" s="45"/>
      <c r="Y168" s="69"/>
      <c r="Z168" s="45"/>
      <c r="AA168" s="45"/>
      <c r="AB168" s="70"/>
      <c r="AC168" s="70"/>
      <c r="AD168" s="70"/>
      <c r="AE168" s="70"/>
      <c r="AF168" s="45"/>
      <c r="AG168" s="71"/>
      <c r="AH168" s="71"/>
      <c r="AI168" s="45"/>
      <c r="AJ168" s="45"/>
      <c r="AK168" s="45"/>
      <c r="AL168" s="45"/>
      <c r="AM168" s="45"/>
      <c r="AN168" s="45"/>
    </row>
    <row r="169">
      <c r="A169" s="45"/>
      <c r="B169" s="45"/>
      <c r="C169" s="45"/>
      <c r="D169" s="45"/>
      <c r="E169" s="45"/>
      <c r="F169" s="45"/>
      <c r="G169" s="69"/>
      <c r="H169" s="45"/>
      <c r="I169" s="45"/>
      <c r="J169" s="69"/>
      <c r="K169" s="45"/>
      <c r="L169" s="45"/>
      <c r="M169" s="45"/>
      <c r="N169" s="69"/>
      <c r="O169" s="45"/>
      <c r="P169" s="45"/>
      <c r="Q169" s="69"/>
      <c r="R169" s="45"/>
      <c r="S169" s="45"/>
      <c r="T169" s="69"/>
      <c r="U169" s="45"/>
      <c r="V169" s="45"/>
      <c r="W169" s="45"/>
      <c r="X169" s="45"/>
      <c r="Y169" s="69"/>
      <c r="Z169" s="45"/>
      <c r="AA169" s="45"/>
      <c r="AB169" s="70"/>
      <c r="AC169" s="70"/>
      <c r="AD169" s="70"/>
      <c r="AE169" s="70"/>
      <c r="AF169" s="45"/>
      <c r="AG169" s="71"/>
      <c r="AH169" s="71"/>
      <c r="AI169" s="45"/>
      <c r="AJ169" s="45"/>
      <c r="AK169" s="45"/>
      <c r="AL169" s="45"/>
      <c r="AM169" s="45"/>
      <c r="AN169" s="45"/>
    </row>
    <row r="170">
      <c r="A170" s="45"/>
      <c r="B170" s="45"/>
      <c r="C170" s="45"/>
      <c r="D170" s="45"/>
      <c r="E170" s="45"/>
      <c r="F170" s="45"/>
      <c r="G170" s="69"/>
      <c r="H170" s="45"/>
      <c r="I170" s="45"/>
      <c r="J170" s="69"/>
      <c r="K170" s="45"/>
      <c r="L170" s="45"/>
      <c r="M170" s="45"/>
      <c r="N170" s="69"/>
      <c r="O170" s="45"/>
      <c r="P170" s="45"/>
      <c r="Q170" s="69"/>
      <c r="R170" s="45"/>
      <c r="S170" s="45"/>
      <c r="T170" s="69"/>
      <c r="U170" s="45"/>
      <c r="V170" s="45"/>
      <c r="W170" s="45"/>
      <c r="X170" s="45"/>
      <c r="Y170" s="69"/>
      <c r="Z170" s="45"/>
      <c r="AA170" s="45"/>
      <c r="AB170" s="70"/>
      <c r="AC170" s="70"/>
      <c r="AD170" s="70"/>
      <c r="AE170" s="70"/>
      <c r="AF170" s="45"/>
      <c r="AG170" s="71"/>
      <c r="AH170" s="71"/>
      <c r="AI170" s="45"/>
      <c r="AJ170" s="45"/>
      <c r="AK170" s="45"/>
      <c r="AL170" s="45"/>
      <c r="AM170" s="45"/>
      <c r="AN170" s="45"/>
    </row>
    <row r="171">
      <c r="A171" s="45"/>
      <c r="B171" s="45"/>
      <c r="C171" s="45"/>
      <c r="D171" s="45"/>
      <c r="E171" s="45"/>
      <c r="F171" s="45"/>
      <c r="G171" s="69"/>
      <c r="H171" s="45"/>
      <c r="I171" s="45"/>
      <c r="J171" s="69"/>
      <c r="K171" s="45"/>
      <c r="L171" s="45"/>
      <c r="M171" s="45"/>
      <c r="N171" s="69"/>
      <c r="O171" s="45"/>
      <c r="P171" s="45"/>
      <c r="Q171" s="69"/>
      <c r="R171" s="45"/>
      <c r="S171" s="45"/>
      <c r="T171" s="69"/>
      <c r="U171" s="45"/>
      <c r="V171" s="45"/>
      <c r="W171" s="45"/>
      <c r="X171" s="45"/>
      <c r="Y171" s="69"/>
      <c r="Z171" s="45"/>
      <c r="AA171" s="45"/>
      <c r="AB171" s="70"/>
      <c r="AC171" s="70"/>
      <c r="AD171" s="70"/>
      <c r="AE171" s="70"/>
      <c r="AF171" s="45"/>
      <c r="AG171" s="71"/>
      <c r="AH171" s="71"/>
      <c r="AI171" s="45"/>
      <c r="AJ171" s="45"/>
      <c r="AK171" s="45"/>
      <c r="AL171" s="45"/>
      <c r="AM171" s="45"/>
      <c r="AN171" s="45"/>
    </row>
    <row r="172">
      <c r="A172" s="45"/>
      <c r="B172" s="45"/>
      <c r="C172" s="45"/>
      <c r="D172" s="45"/>
      <c r="E172" s="45"/>
      <c r="F172" s="45"/>
      <c r="G172" s="69"/>
      <c r="H172" s="45"/>
      <c r="I172" s="45"/>
      <c r="J172" s="69"/>
      <c r="K172" s="45"/>
      <c r="L172" s="45"/>
      <c r="M172" s="45"/>
      <c r="N172" s="69"/>
      <c r="O172" s="45"/>
      <c r="P172" s="45"/>
      <c r="Q172" s="69"/>
      <c r="R172" s="45"/>
      <c r="S172" s="45"/>
      <c r="T172" s="69"/>
      <c r="U172" s="45"/>
      <c r="V172" s="45"/>
      <c r="W172" s="45"/>
      <c r="X172" s="45"/>
      <c r="Y172" s="69"/>
      <c r="Z172" s="45"/>
      <c r="AA172" s="45"/>
      <c r="AB172" s="70"/>
      <c r="AC172" s="70"/>
      <c r="AD172" s="70"/>
      <c r="AE172" s="70"/>
      <c r="AF172" s="45"/>
      <c r="AG172" s="71"/>
      <c r="AH172" s="71"/>
      <c r="AI172" s="45"/>
      <c r="AJ172" s="45"/>
      <c r="AK172" s="45"/>
      <c r="AL172" s="45"/>
      <c r="AM172" s="45"/>
      <c r="AN172" s="45"/>
    </row>
    <row r="173">
      <c r="A173" s="45"/>
      <c r="B173" s="45"/>
      <c r="C173" s="45"/>
      <c r="D173" s="45"/>
      <c r="E173" s="45"/>
      <c r="F173" s="45"/>
      <c r="G173" s="69"/>
      <c r="H173" s="45"/>
      <c r="I173" s="45"/>
      <c r="J173" s="69"/>
      <c r="K173" s="45"/>
      <c r="L173" s="45"/>
      <c r="M173" s="45"/>
      <c r="N173" s="69"/>
      <c r="O173" s="45"/>
      <c r="P173" s="45"/>
      <c r="Q173" s="69"/>
      <c r="R173" s="45"/>
      <c r="S173" s="45"/>
      <c r="T173" s="69"/>
      <c r="U173" s="45"/>
      <c r="V173" s="45"/>
      <c r="W173" s="45"/>
      <c r="X173" s="45"/>
      <c r="Y173" s="69"/>
      <c r="Z173" s="45"/>
      <c r="AA173" s="45"/>
      <c r="AB173" s="70"/>
      <c r="AC173" s="70"/>
      <c r="AD173" s="70"/>
      <c r="AE173" s="70"/>
      <c r="AF173" s="45"/>
      <c r="AG173" s="71"/>
      <c r="AH173" s="71"/>
      <c r="AI173" s="45"/>
      <c r="AJ173" s="45"/>
      <c r="AK173" s="45"/>
      <c r="AL173" s="45"/>
      <c r="AM173" s="45"/>
      <c r="AN173" s="45"/>
    </row>
    <row r="174">
      <c r="A174" s="45"/>
      <c r="B174" s="45"/>
      <c r="C174" s="45"/>
      <c r="D174" s="45"/>
      <c r="E174" s="45"/>
      <c r="F174" s="45"/>
      <c r="G174" s="69"/>
      <c r="H174" s="45"/>
      <c r="I174" s="45"/>
      <c r="J174" s="69"/>
      <c r="K174" s="45"/>
      <c r="L174" s="45"/>
      <c r="M174" s="45"/>
      <c r="N174" s="69"/>
      <c r="O174" s="45"/>
      <c r="P174" s="45"/>
      <c r="Q174" s="69"/>
      <c r="R174" s="45"/>
      <c r="S174" s="45"/>
      <c r="T174" s="69"/>
      <c r="U174" s="45"/>
      <c r="V174" s="45"/>
      <c r="W174" s="45"/>
      <c r="X174" s="45"/>
      <c r="Y174" s="69"/>
      <c r="Z174" s="45"/>
      <c r="AA174" s="45"/>
      <c r="AB174" s="70"/>
      <c r="AC174" s="70"/>
      <c r="AD174" s="70"/>
      <c r="AE174" s="70"/>
      <c r="AF174" s="45"/>
      <c r="AG174" s="71"/>
      <c r="AH174" s="71"/>
      <c r="AI174" s="45"/>
      <c r="AJ174" s="45"/>
      <c r="AK174" s="45"/>
      <c r="AL174" s="45"/>
      <c r="AM174" s="45"/>
      <c r="AN174" s="45"/>
    </row>
    <row r="175">
      <c r="A175" s="45"/>
      <c r="B175" s="45"/>
      <c r="C175" s="45"/>
      <c r="D175" s="45"/>
      <c r="E175" s="45"/>
      <c r="F175" s="45"/>
      <c r="G175" s="69"/>
      <c r="H175" s="45"/>
      <c r="I175" s="45"/>
      <c r="J175" s="69"/>
      <c r="K175" s="45"/>
      <c r="L175" s="45"/>
      <c r="M175" s="45"/>
      <c r="N175" s="69"/>
      <c r="O175" s="45"/>
      <c r="P175" s="45"/>
      <c r="Q175" s="69"/>
      <c r="R175" s="45"/>
      <c r="S175" s="45"/>
      <c r="T175" s="69"/>
      <c r="U175" s="45"/>
      <c r="V175" s="45"/>
      <c r="W175" s="45"/>
      <c r="X175" s="45"/>
      <c r="Y175" s="69"/>
      <c r="Z175" s="45"/>
      <c r="AA175" s="45"/>
      <c r="AB175" s="70"/>
      <c r="AC175" s="70"/>
      <c r="AD175" s="70"/>
      <c r="AE175" s="70"/>
      <c r="AF175" s="45"/>
      <c r="AG175" s="71"/>
      <c r="AH175" s="71"/>
      <c r="AI175" s="45"/>
      <c r="AJ175" s="45"/>
      <c r="AK175" s="45"/>
      <c r="AL175" s="45"/>
      <c r="AM175" s="45"/>
      <c r="AN175" s="45"/>
    </row>
    <row r="176">
      <c r="A176" s="45"/>
      <c r="B176" s="45"/>
      <c r="C176" s="45"/>
      <c r="D176" s="45"/>
      <c r="E176" s="45"/>
      <c r="F176" s="45"/>
      <c r="G176" s="69"/>
      <c r="H176" s="45"/>
      <c r="I176" s="45"/>
      <c r="J176" s="69"/>
      <c r="K176" s="45"/>
      <c r="L176" s="45"/>
      <c r="M176" s="45"/>
      <c r="N176" s="69"/>
      <c r="O176" s="45"/>
      <c r="P176" s="45"/>
      <c r="Q176" s="69"/>
      <c r="R176" s="45"/>
      <c r="S176" s="45"/>
      <c r="T176" s="69"/>
      <c r="U176" s="45"/>
      <c r="V176" s="45"/>
      <c r="W176" s="45"/>
      <c r="X176" s="45"/>
      <c r="Y176" s="69"/>
      <c r="Z176" s="45"/>
      <c r="AA176" s="45"/>
      <c r="AB176" s="70"/>
      <c r="AC176" s="70"/>
      <c r="AD176" s="70"/>
      <c r="AE176" s="70"/>
      <c r="AF176" s="45"/>
      <c r="AG176" s="71"/>
      <c r="AH176" s="71"/>
      <c r="AI176" s="45"/>
      <c r="AJ176" s="45"/>
      <c r="AK176" s="45"/>
      <c r="AL176" s="45"/>
      <c r="AM176" s="45"/>
      <c r="AN176" s="45"/>
    </row>
    <row r="177">
      <c r="A177" s="45"/>
      <c r="B177" s="45"/>
      <c r="C177" s="45"/>
      <c r="D177" s="45"/>
      <c r="E177" s="45"/>
      <c r="F177" s="45"/>
      <c r="G177" s="69"/>
      <c r="H177" s="45"/>
      <c r="I177" s="45"/>
      <c r="J177" s="69"/>
      <c r="K177" s="45"/>
      <c r="L177" s="45"/>
      <c r="M177" s="45"/>
      <c r="N177" s="69"/>
      <c r="O177" s="45"/>
      <c r="P177" s="45"/>
      <c r="Q177" s="69"/>
      <c r="R177" s="45"/>
      <c r="S177" s="45"/>
      <c r="T177" s="69"/>
      <c r="U177" s="45"/>
      <c r="V177" s="45"/>
      <c r="W177" s="45"/>
      <c r="X177" s="45"/>
      <c r="Y177" s="69"/>
      <c r="Z177" s="45"/>
      <c r="AA177" s="45"/>
      <c r="AB177" s="70"/>
      <c r="AC177" s="70"/>
      <c r="AD177" s="70"/>
      <c r="AE177" s="70"/>
      <c r="AF177" s="45"/>
      <c r="AG177" s="71"/>
      <c r="AH177" s="71"/>
      <c r="AI177" s="45"/>
      <c r="AJ177" s="45"/>
      <c r="AK177" s="45"/>
      <c r="AL177" s="45"/>
      <c r="AM177" s="45"/>
      <c r="AN177" s="45"/>
    </row>
    <row r="178">
      <c r="A178" s="45"/>
      <c r="B178" s="45"/>
      <c r="C178" s="45"/>
      <c r="D178" s="45"/>
      <c r="E178" s="45"/>
      <c r="F178" s="45"/>
      <c r="G178" s="69"/>
      <c r="H178" s="45"/>
      <c r="I178" s="45"/>
      <c r="J178" s="69"/>
      <c r="K178" s="45"/>
      <c r="L178" s="45"/>
      <c r="M178" s="45"/>
      <c r="N178" s="69"/>
      <c r="O178" s="45"/>
      <c r="P178" s="45"/>
      <c r="Q178" s="69"/>
      <c r="R178" s="45"/>
      <c r="S178" s="45"/>
      <c r="T178" s="69"/>
      <c r="U178" s="45"/>
      <c r="V178" s="45"/>
      <c r="W178" s="45"/>
      <c r="X178" s="45"/>
      <c r="Y178" s="69"/>
      <c r="Z178" s="45"/>
      <c r="AA178" s="45"/>
      <c r="AB178" s="70"/>
      <c r="AC178" s="70"/>
      <c r="AD178" s="70"/>
      <c r="AE178" s="70"/>
      <c r="AF178" s="45"/>
      <c r="AG178" s="71"/>
      <c r="AH178" s="71"/>
      <c r="AI178" s="45"/>
      <c r="AJ178" s="45"/>
      <c r="AK178" s="45"/>
      <c r="AL178" s="45"/>
      <c r="AM178" s="45"/>
      <c r="AN178" s="45"/>
    </row>
    <row r="179">
      <c r="A179" s="45"/>
      <c r="B179" s="45"/>
      <c r="C179" s="45"/>
      <c r="D179" s="45"/>
      <c r="E179" s="45"/>
      <c r="F179" s="45"/>
      <c r="G179" s="69"/>
      <c r="H179" s="45"/>
      <c r="I179" s="45"/>
      <c r="J179" s="69"/>
      <c r="K179" s="45"/>
      <c r="L179" s="45"/>
      <c r="M179" s="45"/>
      <c r="N179" s="69"/>
      <c r="O179" s="45"/>
      <c r="P179" s="45"/>
      <c r="Q179" s="69"/>
      <c r="R179" s="45"/>
      <c r="S179" s="45"/>
      <c r="T179" s="69"/>
      <c r="U179" s="45"/>
      <c r="V179" s="45"/>
      <c r="W179" s="45"/>
      <c r="X179" s="45"/>
      <c r="Y179" s="69"/>
      <c r="Z179" s="45"/>
      <c r="AA179" s="45"/>
      <c r="AB179" s="70"/>
      <c r="AC179" s="70"/>
      <c r="AD179" s="70"/>
      <c r="AE179" s="70"/>
      <c r="AF179" s="45"/>
      <c r="AG179" s="71"/>
      <c r="AH179" s="71"/>
      <c r="AI179" s="45"/>
      <c r="AJ179" s="45"/>
      <c r="AK179" s="45"/>
      <c r="AL179" s="45"/>
      <c r="AM179" s="45"/>
      <c r="AN179" s="45"/>
    </row>
    <row r="180">
      <c r="A180" s="45"/>
      <c r="B180" s="45"/>
      <c r="C180" s="45"/>
      <c r="D180" s="45"/>
      <c r="E180" s="45"/>
      <c r="F180" s="45"/>
      <c r="G180" s="69"/>
      <c r="H180" s="45"/>
      <c r="I180" s="45"/>
      <c r="J180" s="69"/>
      <c r="K180" s="45"/>
      <c r="L180" s="45"/>
      <c r="M180" s="45"/>
      <c r="N180" s="69"/>
      <c r="O180" s="45"/>
      <c r="P180" s="45"/>
      <c r="Q180" s="69"/>
      <c r="R180" s="45"/>
      <c r="S180" s="45"/>
      <c r="T180" s="69"/>
      <c r="U180" s="45"/>
      <c r="V180" s="45"/>
      <c r="W180" s="45"/>
      <c r="X180" s="45"/>
      <c r="Y180" s="69"/>
      <c r="Z180" s="45"/>
      <c r="AA180" s="45"/>
      <c r="AB180" s="70"/>
      <c r="AC180" s="70"/>
      <c r="AD180" s="70"/>
      <c r="AE180" s="70"/>
      <c r="AF180" s="45"/>
      <c r="AG180" s="71"/>
      <c r="AH180" s="71"/>
      <c r="AI180" s="45"/>
      <c r="AJ180" s="45"/>
      <c r="AK180" s="45"/>
      <c r="AL180" s="45"/>
      <c r="AM180" s="45"/>
      <c r="AN180" s="45"/>
    </row>
    <row r="181">
      <c r="A181" s="45"/>
      <c r="B181" s="45"/>
      <c r="C181" s="45"/>
      <c r="D181" s="45"/>
      <c r="E181" s="45"/>
      <c r="F181" s="45"/>
      <c r="G181" s="69"/>
      <c r="H181" s="45"/>
      <c r="I181" s="45"/>
      <c r="J181" s="69"/>
      <c r="K181" s="45"/>
      <c r="L181" s="45"/>
      <c r="M181" s="45"/>
      <c r="N181" s="69"/>
      <c r="O181" s="45"/>
      <c r="P181" s="45"/>
      <c r="Q181" s="69"/>
      <c r="R181" s="45"/>
      <c r="S181" s="45"/>
      <c r="T181" s="69"/>
      <c r="U181" s="45"/>
      <c r="V181" s="45"/>
      <c r="W181" s="45"/>
      <c r="X181" s="45"/>
      <c r="Y181" s="69"/>
      <c r="Z181" s="45"/>
      <c r="AA181" s="45"/>
      <c r="AB181" s="70"/>
      <c r="AC181" s="70"/>
      <c r="AD181" s="70"/>
      <c r="AE181" s="70"/>
      <c r="AF181" s="45"/>
      <c r="AG181" s="71"/>
      <c r="AH181" s="71"/>
      <c r="AI181" s="45"/>
      <c r="AJ181" s="45"/>
      <c r="AK181" s="45"/>
      <c r="AL181" s="45"/>
      <c r="AM181" s="45"/>
      <c r="AN181" s="45"/>
    </row>
    <row r="182">
      <c r="A182" s="45"/>
      <c r="B182" s="45"/>
      <c r="C182" s="45"/>
      <c r="D182" s="45"/>
      <c r="E182" s="45"/>
      <c r="F182" s="45"/>
      <c r="G182" s="69"/>
      <c r="H182" s="45"/>
      <c r="I182" s="45"/>
      <c r="J182" s="69"/>
      <c r="K182" s="45"/>
      <c r="L182" s="45"/>
      <c r="M182" s="45"/>
      <c r="N182" s="69"/>
      <c r="O182" s="45"/>
      <c r="P182" s="45"/>
      <c r="Q182" s="69"/>
      <c r="R182" s="45"/>
      <c r="S182" s="45"/>
      <c r="T182" s="69"/>
      <c r="U182" s="45"/>
      <c r="V182" s="45"/>
      <c r="W182" s="45"/>
      <c r="X182" s="45"/>
      <c r="Y182" s="69"/>
      <c r="Z182" s="45"/>
      <c r="AA182" s="45"/>
      <c r="AB182" s="70"/>
      <c r="AC182" s="70"/>
      <c r="AD182" s="70"/>
      <c r="AE182" s="70"/>
      <c r="AF182" s="45"/>
      <c r="AG182" s="71"/>
      <c r="AH182" s="71"/>
      <c r="AI182" s="45"/>
      <c r="AJ182" s="45"/>
      <c r="AK182" s="45"/>
      <c r="AL182" s="45"/>
      <c r="AM182" s="45"/>
      <c r="AN182" s="45"/>
    </row>
    <row r="183">
      <c r="A183" s="45"/>
      <c r="B183" s="45"/>
      <c r="C183" s="45"/>
      <c r="D183" s="45"/>
      <c r="E183" s="45"/>
      <c r="F183" s="45"/>
      <c r="G183" s="69"/>
      <c r="H183" s="45"/>
      <c r="I183" s="45"/>
      <c r="J183" s="69"/>
      <c r="K183" s="45"/>
      <c r="L183" s="45"/>
      <c r="M183" s="45"/>
      <c r="N183" s="69"/>
      <c r="O183" s="45"/>
      <c r="P183" s="45"/>
      <c r="Q183" s="69"/>
      <c r="R183" s="45"/>
      <c r="S183" s="45"/>
      <c r="T183" s="69"/>
      <c r="U183" s="45"/>
      <c r="V183" s="45"/>
      <c r="W183" s="45"/>
      <c r="X183" s="45"/>
      <c r="Y183" s="69"/>
      <c r="Z183" s="45"/>
      <c r="AA183" s="45"/>
      <c r="AB183" s="70"/>
      <c r="AC183" s="70"/>
      <c r="AD183" s="70"/>
      <c r="AE183" s="70"/>
      <c r="AF183" s="45"/>
      <c r="AG183" s="71"/>
      <c r="AH183" s="71"/>
      <c r="AI183" s="45"/>
      <c r="AJ183" s="45"/>
      <c r="AK183" s="45"/>
      <c r="AL183" s="45"/>
      <c r="AM183" s="45"/>
      <c r="AN183" s="45"/>
    </row>
    <row r="184">
      <c r="A184" s="45"/>
      <c r="B184" s="45"/>
      <c r="C184" s="45"/>
      <c r="D184" s="45"/>
      <c r="E184" s="45"/>
      <c r="F184" s="45"/>
      <c r="G184" s="69"/>
      <c r="H184" s="45"/>
      <c r="I184" s="45"/>
      <c r="J184" s="69"/>
      <c r="K184" s="45"/>
      <c r="L184" s="45"/>
      <c r="M184" s="45"/>
      <c r="N184" s="69"/>
      <c r="O184" s="45"/>
      <c r="P184" s="45"/>
      <c r="Q184" s="69"/>
      <c r="R184" s="45"/>
      <c r="S184" s="45"/>
      <c r="T184" s="69"/>
      <c r="U184" s="45"/>
      <c r="V184" s="45"/>
      <c r="W184" s="45"/>
      <c r="X184" s="45"/>
      <c r="Y184" s="69"/>
      <c r="Z184" s="45"/>
      <c r="AA184" s="45"/>
      <c r="AB184" s="70"/>
      <c r="AC184" s="70"/>
      <c r="AD184" s="70"/>
      <c r="AE184" s="70"/>
      <c r="AF184" s="45"/>
      <c r="AG184" s="71"/>
      <c r="AH184" s="71"/>
      <c r="AI184" s="45"/>
      <c r="AJ184" s="45"/>
      <c r="AK184" s="45"/>
      <c r="AL184" s="45"/>
      <c r="AM184" s="45"/>
      <c r="AN184" s="45"/>
    </row>
    <row r="185">
      <c r="A185" s="45"/>
      <c r="B185" s="45"/>
      <c r="C185" s="45"/>
      <c r="D185" s="45"/>
      <c r="E185" s="45"/>
      <c r="F185" s="45"/>
      <c r="G185" s="69"/>
      <c r="H185" s="45"/>
      <c r="I185" s="45"/>
      <c r="J185" s="69"/>
      <c r="K185" s="45"/>
      <c r="L185" s="45"/>
      <c r="M185" s="45"/>
      <c r="N185" s="69"/>
      <c r="O185" s="45"/>
      <c r="P185" s="45"/>
      <c r="Q185" s="69"/>
      <c r="R185" s="45"/>
      <c r="S185" s="45"/>
      <c r="T185" s="69"/>
      <c r="U185" s="45"/>
      <c r="V185" s="45"/>
      <c r="W185" s="45"/>
      <c r="X185" s="45"/>
      <c r="Y185" s="69"/>
      <c r="Z185" s="45"/>
      <c r="AA185" s="45"/>
      <c r="AB185" s="70"/>
      <c r="AC185" s="70"/>
      <c r="AD185" s="70"/>
      <c r="AE185" s="70"/>
      <c r="AF185" s="45"/>
      <c r="AG185" s="71"/>
      <c r="AH185" s="71"/>
      <c r="AI185" s="45"/>
      <c r="AJ185" s="45"/>
      <c r="AK185" s="45"/>
      <c r="AL185" s="45"/>
      <c r="AM185" s="45"/>
      <c r="AN185" s="45"/>
    </row>
    <row r="186">
      <c r="A186" s="45"/>
      <c r="B186" s="45"/>
      <c r="C186" s="45"/>
      <c r="D186" s="45"/>
      <c r="E186" s="45"/>
      <c r="F186" s="45"/>
      <c r="G186" s="69"/>
      <c r="H186" s="45"/>
      <c r="I186" s="45"/>
      <c r="J186" s="69"/>
      <c r="K186" s="45"/>
      <c r="L186" s="45"/>
      <c r="M186" s="45"/>
      <c r="N186" s="69"/>
      <c r="O186" s="45"/>
      <c r="P186" s="45"/>
      <c r="Q186" s="69"/>
      <c r="R186" s="45"/>
      <c r="S186" s="45"/>
      <c r="T186" s="69"/>
      <c r="U186" s="45"/>
      <c r="V186" s="45"/>
      <c r="W186" s="45"/>
      <c r="X186" s="45"/>
      <c r="Y186" s="69"/>
      <c r="Z186" s="45"/>
      <c r="AA186" s="45"/>
      <c r="AB186" s="70"/>
      <c r="AC186" s="70"/>
      <c r="AD186" s="70"/>
      <c r="AE186" s="70"/>
      <c r="AF186" s="45"/>
      <c r="AG186" s="71"/>
      <c r="AH186" s="71"/>
      <c r="AI186" s="45"/>
      <c r="AJ186" s="45"/>
      <c r="AK186" s="45"/>
      <c r="AL186" s="45"/>
      <c r="AM186" s="45"/>
      <c r="AN186" s="45"/>
    </row>
    <row r="187">
      <c r="A187" s="45"/>
      <c r="B187" s="45"/>
      <c r="C187" s="45"/>
      <c r="D187" s="45"/>
      <c r="E187" s="45"/>
      <c r="F187" s="45"/>
      <c r="G187" s="69"/>
      <c r="H187" s="45"/>
      <c r="I187" s="45"/>
      <c r="J187" s="69"/>
      <c r="K187" s="45"/>
      <c r="L187" s="45"/>
      <c r="M187" s="45"/>
      <c r="N187" s="69"/>
      <c r="O187" s="45"/>
      <c r="P187" s="45"/>
      <c r="Q187" s="69"/>
      <c r="R187" s="45"/>
      <c r="S187" s="45"/>
      <c r="T187" s="69"/>
      <c r="U187" s="45"/>
      <c r="V187" s="45"/>
      <c r="W187" s="45"/>
      <c r="X187" s="45"/>
      <c r="Y187" s="69"/>
      <c r="Z187" s="45"/>
      <c r="AA187" s="45"/>
      <c r="AB187" s="70"/>
      <c r="AC187" s="70"/>
      <c r="AD187" s="70"/>
      <c r="AE187" s="70"/>
      <c r="AF187" s="45"/>
      <c r="AG187" s="71"/>
      <c r="AH187" s="71"/>
      <c r="AI187" s="45"/>
      <c r="AJ187" s="45"/>
      <c r="AK187" s="45"/>
      <c r="AL187" s="45"/>
      <c r="AM187" s="45"/>
      <c r="AN187" s="45"/>
    </row>
    <row r="188">
      <c r="A188" s="45"/>
      <c r="B188" s="45"/>
      <c r="C188" s="45"/>
      <c r="D188" s="45"/>
      <c r="E188" s="45"/>
      <c r="F188" s="45"/>
      <c r="G188" s="69"/>
      <c r="H188" s="45"/>
      <c r="I188" s="45"/>
      <c r="J188" s="69"/>
      <c r="K188" s="45"/>
      <c r="L188" s="45"/>
      <c r="M188" s="45"/>
      <c r="N188" s="69"/>
      <c r="O188" s="45"/>
      <c r="P188" s="45"/>
      <c r="Q188" s="69"/>
      <c r="R188" s="45"/>
      <c r="S188" s="45"/>
      <c r="T188" s="69"/>
      <c r="U188" s="45"/>
      <c r="V188" s="45"/>
      <c r="W188" s="45"/>
      <c r="X188" s="45"/>
      <c r="Y188" s="69"/>
      <c r="Z188" s="45"/>
      <c r="AA188" s="45"/>
      <c r="AB188" s="70"/>
      <c r="AC188" s="70"/>
      <c r="AD188" s="70"/>
      <c r="AE188" s="70"/>
      <c r="AF188" s="45"/>
      <c r="AG188" s="71"/>
      <c r="AH188" s="71"/>
      <c r="AI188" s="45"/>
      <c r="AJ188" s="45"/>
      <c r="AK188" s="45"/>
      <c r="AL188" s="45"/>
      <c r="AM188" s="45"/>
      <c r="AN188" s="45"/>
    </row>
    <row r="189">
      <c r="A189" s="45"/>
      <c r="B189" s="45"/>
      <c r="C189" s="45"/>
      <c r="D189" s="45"/>
      <c r="E189" s="45"/>
      <c r="F189" s="45"/>
      <c r="G189" s="69"/>
      <c r="H189" s="45"/>
      <c r="I189" s="45"/>
      <c r="J189" s="69"/>
      <c r="K189" s="45"/>
      <c r="L189" s="45"/>
      <c r="M189" s="45"/>
      <c r="N189" s="69"/>
      <c r="O189" s="45"/>
      <c r="P189" s="45"/>
      <c r="Q189" s="69"/>
      <c r="R189" s="45"/>
      <c r="S189" s="45"/>
      <c r="T189" s="69"/>
      <c r="U189" s="45"/>
      <c r="V189" s="45"/>
      <c r="W189" s="45"/>
      <c r="X189" s="45"/>
      <c r="Y189" s="69"/>
      <c r="Z189" s="45"/>
      <c r="AA189" s="45"/>
      <c r="AB189" s="70"/>
      <c r="AC189" s="70"/>
      <c r="AD189" s="70"/>
      <c r="AE189" s="70"/>
      <c r="AF189" s="45"/>
      <c r="AG189" s="71"/>
      <c r="AH189" s="71"/>
      <c r="AI189" s="45"/>
      <c r="AJ189" s="45"/>
      <c r="AK189" s="45"/>
      <c r="AL189" s="45"/>
      <c r="AM189" s="45"/>
      <c r="AN189" s="45"/>
    </row>
    <row r="190">
      <c r="A190" s="45"/>
      <c r="B190" s="45"/>
      <c r="C190" s="45"/>
      <c r="D190" s="45"/>
      <c r="E190" s="45"/>
      <c r="F190" s="45"/>
      <c r="G190" s="69"/>
      <c r="H190" s="45"/>
      <c r="I190" s="45"/>
      <c r="J190" s="69"/>
      <c r="K190" s="45"/>
      <c r="L190" s="45"/>
      <c r="M190" s="45"/>
      <c r="N190" s="69"/>
      <c r="O190" s="45"/>
      <c r="P190" s="45"/>
      <c r="Q190" s="69"/>
      <c r="R190" s="45"/>
      <c r="S190" s="45"/>
      <c r="T190" s="69"/>
      <c r="U190" s="45"/>
      <c r="V190" s="45"/>
      <c r="W190" s="45"/>
      <c r="X190" s="45"/>
      <c r="Y190" s="69"/>
      <c r="Z190" s="45"/>
      <c r="AA190" s="45"/>
      <c r="AB190" s="70"/>
      <c r="AC190" s="70"/>
      <c r="AD190" s="70"/>
      <c r="AE190" s="70"/>
      <c r="AF190" s="45"/>
      <c r="AG190" s="71"/>
      <c r="AH190" s="71"/>
      <c r="AI190" s="45"/>
      <c r="AJ190" s="45"/>
      <c r="AK190" s="45"/>
      <c r="AL190" s="45"/>
      <c r="AM190" s="45"/>
      <c r="AN190" s="45"/>
    </row>
    <row r="191">
      <c r="A191" s="45"/>
      <c r="B191" s="45"/>
      <c r="C191" s="45"/>
      <c r="D191" s="45"/>
      <c r="E191" s="45"/>
      <c r="F191" s="45"/>
      <c r="G191" s="69"/>
      <c r="H191" s="45"/>
      <c r="I191" s="45"/>
      <c r="J191" s="69"/>
      <c r="K191" s="45"/>
      <c r="L191" s="45"/>
      <c r="M191" s="45"/>
      <c r="N191" s="69"/>
      <c r="O191" s="45"/>
      <c r="P191" s="45"/>
      <c r="Q191" s="69"/>
      <c r="R191" s="45"/>
      <c r="S191" s="45"/>
      <c r="T191" s="69"/>
      <c r="U191" s="45"/>
      <c r="V191" s="45"/>
      <c r="W191" s="45"/>
      <c r="X191" s="45"/>
      <c r="Y191" s="69"/>
      <c r="Z191" s="45"/>
      <c r="AA191" s="45"/>
      <c r="AB191" s="70"/>
      <c r="AC191" s="70"/>
      <c r="AD191" s="70"/>
      <c r="AE191" s="70"/>
      <c r="AF191" s="45"/>
      <c r="AG191" s="71"/>
      <c r="AH191" s="71"/>
      <c r="AI191" s="45"/>
      <c r="AJ191" s="45"/>
      <c r="AK191" s="45"/>
      <c r="AL191" s="45"/>
      <c r="AM191" s="45"/>
      <c r="AN191" s="45"/>
    </row>
    <row r="192">
      <c r="A192" s="45"/>
      <c r="B192" s="45"/>
      <c r="C192" s="45"/>
      <c r="D192" s="45"/>
      <c r="E192" s="45"/>
      <c r="F192" s="45"/>
      <c r="G192" s="69"/>
      <c r="H192" s="45"/>
      <c r="I192" s="45"/>
      <c r="J192" s="69"/>
      <c r="K192" s="45"/>
      <c r="L192" s="45"/>
      <c r="M192" s="45"/>
      <c r="N192" s="69"/>
      <c r="O192" s="45"/>
      <c r="P192" s="45"/>
      <c r="Q192" s="69"/>
      <c r="R192" s="45"/>
      <c r="S192" s="45"/>
      <c r="T192" s="69"/>
      <c r="U192" s="45"/>
      <c r="V192" s="45"/>
      <c r="W192" s="45"/>
      <c r="X192" s="45"/>
      <c r="Y192" s="69"/>
      <c r="Z192" s="45"/>
      <c r="AA192" s="45"/>
      <c r="AB192" s="70"/>
      <c r="AC192" s="70"/>
      <c r="AD192" s="70"/>
      <c r="AE192" s="70"/>
      <c r="AF192" s="45"/>
      <c r="AG192" s="71"/>
      <c r="AH192" s="71"/>
      <c r="AI192" s="45"/>
      <c r="AJ192" s="45"/>
      <c r="AK192" s="45"/>
      <c r="AL192" s="45"/>
      <c r="AM192" s="45"/>
      <c r="AN192" s="45"/>
    </row>
    <row r="193">
      <c r="A193" s="45"/>
      <c r="B193" s="45"/>
      <c r="C193" s="45"/>
      <c r="D193" s="45"/>
      <c r="E193" s="45"/>
      <c r="F193" s="45"/>
      <c r="G193" s="69"/>
      <c r="H193" s="45"/>
      <c r="I193" s="45"/>
      <c r="J193" s="69"/>
      <c r="K193" s="45"/>
      <c r="L193" s="45"/>
      <c r="M193" s="45"/>
      <c r="N193" s="69"/>
      <c r="O193" s="45"/>
      <c r="P193" s="45"/>
      <c r="Q193" s="69"/>
      <c r="R193" s="45"/>
      <c r="S193" s="45"/>
      <c r="T193" s="69"/>
      <c r="U193" s="45"/>
      <c r="V193" s="45"/>
      <c r="W193" s="45"/>
      <c r="X193" s="45"/>
      <c r="Y193" s="69"/>
      <c r="Z193" s="45"/>
      <c r="AA193" s="45"/>
      <c r="AB193" s="70"/>
      <c r="AC193" s="70"/>
      <c r="AD193" s="70"/>
      <c r="AE193" s="70"/>
      <c r="AF193" s="45"/>
      <c r="AG193" s="71"/>
      <c r="AH193" s="71"/>
      <c r="AI193" s="45"/>
      <c r="AJ193" s="45"/>
      <c r="AK193" s="45"/>
      <c r="AL193" s="45"/>
      <c r="AM193" s="45"/>
      <c r="AN193" s="45"/>
    </row>
    <row r="194">
      <c r="A194" s="45"/>
      <c r="B194" s="45"/>
      <c r="C194" s="45"/>
      <c r="D194" s="45"/>
      <c r="E194" s="45"/>
      <c r="F194" s="45"/>
      <c r="G194" s="69"/>
      <c r="H194" s="45"/>
      <c r="I194" s="45"/>
      <c r="J194" s="69"/>
      <c r="K194" s="45"/>
      <c r="L194" s="45"/>
      <c r="M194" s="45"/>
      <c r="N194" s="69"/>
      <c r="O194" s="45"/>
      <c r="P194" s="45"/>
      <c r="Q194" s="69"/>
      <c r="R194" s="45"/>
      <c r="S194" s="45"/>
      <c r="T194" s="69"/>
      <c r="U194" s="45"/>
      <c r="V194" s="45"/>
      <c r="W194" s="45"/>
      <c r="X194" s="45"/>
      <c r="Y194" s="69"/>
      <c r="Z194" s="45"/>
      <c r="AA194" s="45"/>
      <c r="AB194" s="70"/>
      <c r="AC194" s="70"/>
      <c r="AD194" s="70"/>
      <c r="AE194" s="70"/>
      <c r="AF194" s="45"/>
      <c r="AG194" s="71"/>
      <c r="AH194" s="71"/>
      <c r="AI194" s="45"/>
      <c r="AJ194" s="45"/>
      <c r="AK194" s="45"/>
      <c r="AL194" s="45"/>
      <c r="AM194" s="45"/>
      <c r="AN194" s="45"/>
    </row>
    <row r="195">
      <c r="A195" s="45"/>
      <c r="B195" s="45"/>
      <c r="C195" s="45"/>
      <c r="D195" s="45"/>
      <c r="E195" s="45"/>
      <c r="F195" s="45"/>
      <c r="G195" s="69"/>
      <c r="H195" s="45"/>
      <c r="I195" s="45"/>
      <c r="J195" s="69"/>
      <c r="K195" s="45"/>
      <c r="L195" s="45"/>
      <c r="M195" s="45"/>
      <c r="N195" s="69"/>
      <c r="O195" s="45"/>
      <c r="P195" s="45"/>
      <c r="Q195" s="69"/>
      <c r="R195" s="45"/>
      <c r="S195" s="45"/>
      <c r="T195" s="69"/>
      <c r="U195" s="45"/>
      <c r="V195" s="45"/>
      <c r="W195" s="45"/>
      <c r="X195" s="45"/>
      <c r="Y195" s="69"/>
      <c r="Z195" s="45"/>
      <c r="AA195" s="45"/>
      <c r="AB195" s="70"/>
      <c r="AC195" s="70"/>
      <c r="AD195" s="70"/>
      <c r="AE195" s="70"/>
      <c r="AF195" s="45"/>
      <c r="AG195" s="71"/>
      <c r="AH195" s="71"/>
      <c r="AI195" s="45"/>
      <c r="AJ195" s="45"/>
      <c r="AK195" s="45"/>
      <c r="AL195" s="45"/>
      <c r="AM195" s="45"/>
      <c r="AN195" s="45"/>
    </row>
    <row r="196">
      <c r="A196" s="45"/>
      <c r="B196" s="45"/>
      <c r="C196" s="45"/>
      <c r="D196" s="45"/>
      <c r="E196" s="45"/>
      <c r="F196" s="45"/>
      <c r="G196" s="69"/>
      <c r="H196" s="45"/>
      <c r="I196" s="45"/>
      <c r="J196" s="69"/>
      <c r="K196" s="45"/>
      <c r="L196" s="45"/>
      <c r="M196" s="45"/>
      <c r="N196" s="69"/>
      <c r="O196" s="45"/>
      <c r="P196" s="45"/>
      <c r="Q196" s="69"/>
      <c r="R196" s="45"/>
      <c r="S196" s="45"/>
      <c r="T196" s="69"/>
      <c r="U196" s="45"/>
      <c r="V196" s="45"/>
      <c r="W196" s="45"/>
      <c r="X196" s="45"/>
      <c r="Y196" s="69"/>
      <c r="Z196" s="45"/>
      <c r="AA196" s="45"/>
      <c r="AB196" s="70"/>
      <c r="AC196" s="70"/>
      <c r="AD196" s="70"/>
      <c r="AE196" s="70"/>
      <c r="AF196" s="45"/>
      <c r="AG196" s="71"/>
      <c r="AH196" s="71"/>
      <c r="AI196" s="45"/>
      <c r="AJ196" s="45"/>
      <c r="AK196" s="45"/>
      <c r="AL196" s="45"/>
      <c r="AM196" s="45"/>
      <c r="AN196" s="45"/>
    </row>
    <row r="197">
      <c r="A197" s="45"/>
      <c r="B197" s="45"/>
      <c r="C197" s="45"/>
      <c r="D197" s="45"/>
      <c r="E197" s="45"/>
      <c r="F197" s="45"/>
      <c r="G197" s="69"/>
      <c r="H197" s="45"/>
      <c r="I197" s="45"/>
      <c r="J197" s="69"/>
      <c r="K197" s="45"/>
      <c r="L197" s="45"/>
      <c r="M197" s="45"/>
      <c r="N197" s="69"/>
      <c r="O197" s="45"/>
      <c r="P197" s="45"/>
      <c r="Q197" s="69"/>
      <c r="R197" s="45"/>
      <c r="S197" s="45"/>
      <c r="T197" s="69"/>
      <c r="U197" s="45"/>
      <c r="V197" s="45"/>
      <c r="W197" s="45"/>
      <c r="X197" s="45"/>
      <c r="Y197" s="69"/>
      <c r="Z197" s="45"/>
      <c r="AA197" s="45"/>
      <c r="AB197" s="70"/>
      <c r="AC197" s="70"/>
      <c r="AD197" s="70"/>
      <c r="AE197" s="70"/>
      <c r="AF197" s="45"/>
      <c r="AG197" s="71"/>
      <c r="AH197" s="71"/>
      <c r="AI197" s="45"/>
      <c r="AJ197" s="45"/>
      <c r="AK197" s="45"/>
      <c r="AL197" s="45"/>
      <c r="AM197" s="45"/>
      <c r="AN197" s="45"/>
    </row>
    <row r="198">
      <c r="A198" s="45"/>
      <c r="B198" s="45"/>
      <c r="C198" s="45"/>
      <c r="D198" s="45"/>
      <c r="E198" s="45"/>
      <c r="F198" s="45"/>
      <c r="G198" s="69"/>
      <c r="H198" s="45"/>
      <c r="I198" s="45"/>
      <c r="J198" s="69"/>
      <c r="K198" s="45"/>
      <c r="L198" s="45"/>
      <c r="M198" s="45"/>
      <c r="N198" s="69"/>
      <c r="O198" s="45"/>
      <c r="P198" s="45"/>
      <c r="Q198" s="69"/>
      <c r="R198" s="45"/>
      <c r="S198" s="45"/>
      <c r="T198" s="69"/>
      <c r="U198" s="45"/>
      <c r="V198" s="45"/>
      <c r="W198" s="45"/>
      <c r="X198" s="45"/>
      <c r="Y198" s="69"/>
      <c r="Z198" s="45"/>
      <c r="AA198" s="45"/>
      <c r="AB198" s="70"/>
      <c r="AC198" s="70"/>
      <c r="AD198" s="70"/>
      <c r="AE198" s="70"/>
      <c r="AF198" s="45"/>
      <c r="AG198" s="71"/>
      <c r="AH198" s="71"/>
      <c r="AI198" s="45"/>
      <c r="AJ198" s="45"/>
      <c r="AK198" s="45"/>
      <c r="AL198" s="45"/>
      <c r="AM198" s="45"/>
      <c r="AN198" s="45"/>
    </row>
    <row r="199">
      <c r="A199" s="45"/>
      <c r="B199" s="45"/>
      <c r="C199" s="45"/>
      <c r="D199" s="45"/>
      <c r="E199" s="45"/>
      <c r="F199" s="45"/>
      <c r="G199" s="69"/>
      <c r="H199" s="45"/>
      <c r="I199" s="45"/>
      <c r="J199" s="69"/>
      <c r="K199" s="45"/>
      <c r="L199" s="45"/>
      <c r="M199" s="45"/>
      <c r="N199" s="69"/>
      <c r="O199" s="45"/>
      <c r="P199" s="45"/>
      <c r="Q199" s="69"/>
      <c r="R199" s="45"/>
      <c r="S199" s="45"/>
      <c r="T199" s="69"/>
      <c r="U199" s="45"/>
      <c r="V199" s="45"/>
      <c r="W199" s="45"/>
      <c r="X199" s="45"/>
      <c r="Y199" s="69"/>
      <c r="Z199" s="45"/>
      <c r="AA199" s="45"/>
      <c r="AB199" s="70"/>
      <c r="AC199" s="70"/>
      <c r="AD199" s="70"/>
      <c r="AE199" s="70"/>
      <c r="AF199" s="45"/>
      <c r="AG199" s="71"/>
      <c r="AH199" s="71"/>
      <c r="AI199" s="45"/>
      <c r="AJ199" s="45"/>
      <c r="AK199" s="45"/>
      <c r="AL199" s="45"/>
      <c r="AM199" s="45"/>
      <c r="AN199" s="45"/>
    </row>
    <row r="200">
      <c r="A200" s="45"/>
      <c r="B200" s="45"/>
      <c r="C200" s="45"/>
      <c r="D200" s="45"/>
      <c r="E200" s="45"/>
      <c r="F200" s="45"/>
      <c r="G200" s="69"/>
      <c r="H200" s="45"/>
      <c r="I200" s="45"/>
      <c r="J200" s="69"/>
      <c r="K200" s="45"/>
      <c r="L200" s="45"/>
      <c r="M200" s="45"/>
      <c r="N200" s="69"/>
      <c r="O200" s="45"/>
      <c r="P200" s="45"/>
      <c r="Q200" s="69"/>
      <c r="R200" s="45"/>
      <c r="S200" s="45"/>
      <c r="T200" s="69"/>
      <c r="U200" s="45"/>
      <c r="V200" s="45"/>
      <c r="W200" s="45"/>
      <c r="X200" s="45"/>
      <c r="Y200" s="69"/>
      <c r="Z200" s="45"/>
      <c r="AA200" s="45"/>
      <c r="AB200" s="70"/>
      <c r="AC200" s="70"/>
      <c r="AD200" s="70"/>
      <c r="AE200" s="70"/>
      <c r="AF200" s="45"/>
      <c r="AG200" s="71"/>
      <c r="AH200" s="71"/>
      <c r="AI200" s="45"/>
      <c r="AJ200" s="45"/>
      <c r="AK200" s="45"/>
      <c r="AL200" s="45"/>
      <c r="AM200" s="45"/>
      <c r="AN200" s="45"/>
    </row>
    <row r="201">
      <c r="A201" s="45"/>
      <c r="B201" s="45"/>
      <c r="C201" s="45"/>
      <c r="D201" s="45"/>
      <c r="E201" s="45"/>
      <c r="F201" s="45"/>
      <c r="G201" s="69"/>
      <c r="H201" s="45"/>
      <c r="I201" s="45"/>
      <c r="J201" s="69"/>
      <c r="K201" s="45"/>
      <c r="L201" s="45"/>
      <c r="M201" s="45"/>
      <c r="N201" s="69"/>
      <c r="O201" s="45"/>
      <c r="P201" s="45"/>
      <c r="Q201" s="69"/>
      <c r="R201" s="45"/>
      <c r="S201" s="45"/>
      <c r="T201" s="69"/>
      <c r="U201" s="45"/>
      <c r="V201" s="45"/>
      <c r="W201" s="45"/>
      <c r="X201" s="45"/>
      <c r="Y201" s="69"/>
      <c r="Z201" s="45"/>
      <c r="AA201" s="45"/>
      <c r="AB201" s="70"/>
      <c r="AC201" s="70"/>
      <c r="AD201" s="70"/>
      <c r="AE201" s="70"/>
      <c r="AF201" s="45"/>
      <c r="AG201" s="71"/>
      <c r="AH201" s="71"/>
      <c r="AI201" s="45"/>
      <c r="AJ201" s="45"/>
      <c r="AK201" s="45"/>
      <c r="AL201" s="45"/>
      <c r="AM201" s="45"/>
      <c r="AN201" s="45"/>
    </row>
    <row r="202">
      <c r="A202" s="45"/>
      <c r="B202" s="45"/>
      <c r="C202" s="45"/>
      <c r="D202" s="45"/>
      <c r="E202" s="45"/>
      <c r="F202" s="45"/>
      <c r="G202" s="69"/>
      <c r="H202" s="45"/>
      <c r="I202" s="45"/>
      <c r="J202" s="69"/>
      <c r="K202" s="45"/>
      <c r="L202" s="45"/>
      <c r="M202" s="45"/>
      <c r="N202" s="69"/>
      <c r="O202" s="45"/>
      <c r="P202" s="45"/>
      <c r="Q202" s="69"/>
      <c r="R202" s="45"/>
      <c r="S202" s="45"/>
      <c r="T202" s="69"/>
      <c r="U202" s="45"/>
      <c r="V202" s="45"/>
      <c r="W202" s="45"/>
      <c r="X202" s="45"/>
      <c r="Y202" s="69"/>
      <c r="Z202" s="45"/>
      <c r="AA202" s="45"/>
      <c r="AB202" s="70"/>
      <c r="AC202" s="70"/>
      <c r="AD202" s="70"/>
      <c r="AE202" s="70"/>
      <c r="AF202" s="45"/>
      <c r="AG202" s="71"/>
      <c r="AH202" s="71"/>
      <c r="AI202" s="45"/>
      <c r="AJ202" s="45"/>
      <c r="AK202" s="45"/>
      <c r="AL202" s="45"/>
      <c r="AM202" s="45"/>
      <c r="AN202" s="45"/>
    </row>
    <row r="203">
      <c r="A203" s="45"/>
      <c r="B203" s="45"/>
      <c r="C203" s="45"/>
      <c r="D203" s="45"/>
      <c r="E203" s="45"/>
      <c r="F203" s="45"/>
      <c r="G203" s="69"/>
      <c r="H203" s="45"/>
      <c r="I203" s="45"/>
      <c r="J203" s="69"/>
      <c r="K203" s="45"/>
      <c r="L203" s="45"/>
      <c r="M203" s="45"/>
      <c r="N203" s="69"/>
      <c r="O203" s="45"/>
      <c r="P203" s="45"/>
      <c r="Q203" s="69"/>
      <c r="R203" s="45"/>
      <c r="S203" s="45"/>
      <c r="T203" s="69"/>
      <c r="U203" s="45"/>
      <c r="V203" s="45"/>
      <c r="W203" s="45"/>
      <c r="X203" s="45"/>
      <c r="Y203" s="69"/>
      <c r="Z203" s="45"/>
      <c r="AA203" s="45"/>
      <c r="AB203" s="70"/>
      <c r="AC203" s="70"/>
      <c r="AD203" s="70"/>
      <c r="AE203" s="70"/>
      <c r="AF203" s="45"/>
      <c r="AG203" s="71"/>
      <c r="AH203" s="71"/>
      <c r="AI203" s="45"/>
      <c r="AJ203" s="45"/>
      <c r="AK203" s="45"/>
      <c r="AL203" s="45"/>
      <c r="AM203" s="45"/>
      <c r="AN203" s="45"/>
    </row>
    <row r="204">
      <c r="A204" s="45"/>
      <c r="B204" s="45"/>
      <c r="C204" s="45"/>
      <c r="D204" s="45"/>
      <c r="E204" s="45"/>
      <c r="F204" s="45"/>
      <c r="G204" s="69"/>
      <c r="H204" s="45"/>
      <c r="I204" s="45"/>
      <c r="J204" s="69"/>
      <c r="K204" s="45"/>
      <c r="L204" s="45"/>
      <c r="M204" s="45"/>
      <c r="N204" s="69"/>
      <c r="O204" s="45"/>
      <c r="P204" s="45"/>
      <c r="Q204" s="69"/>
      <c r="R204" s="45"/>
      <c r="S204" s="45"/>
      <c r="T204" s="69"/>
      <c r="U204" s="45"/>
      <c r="V204" s="45"/>
      <c r="W204" s="45"/>
      <c r="X204" s="45"/>
      <c r="Y204" s="69"/>
      <c r="Z204" s="45"/>
      <c r="AA204" s="45"/>
      <c r="AB204" s="70"/>
      <c r="AC204" s="70"/>
      <c r="AD204" s="70"/>
      <c r="AE204" s="70"/>
      <c r="AF204" s="45"/>
      <c r="AG204" s="71"/>
      <c r="AH204" s="71"/>
      <c r="AI204" s="45"/>
      <c r="AJ204" s="45"/>
      <c r="AK204" s="45"/>
      <c r="AL204" s="45"/>
      <c r="AM204" s="45"/>
      <c r="AN204" s="45"/>
    </row>
    <row r="205">
      <c r="A205" s="45"/>
      <c r="B205" s="45"/>
      <c r="C205" s="45"/>
      <c r="D205" s="45"/>
      <c r="E205" s="45"/>
      <c r="F205" s="45"/>
      <c r="G205" s="69"/>
      <c r="H205" s="45"/>
      <c r="I205" s="45"/>
      <c r="J205" s="69"/>
      <c r="K205" s="45"/>
      <c r="L205" s="45"/>
      <c r="M205" s="45"/>
      <c r="N205" s="69"/>
      <c r="O205" s="45"/>
      <c r="P205" s="45"/>
      <c r="Q205" s="69"/>
      <c r="R205" s="45"/>
      <c r="S205" s="45"/>
      <c r="T205" s="69"/>
      <c r="U205" s="45"/>
      <c r="V205" s="45"/>
      <c r="W205" s="45"/>
      <c r="X205" s="45"/>
      <c r="Y205" s="69"/>
      <c r="Z205" s="45"/>
      <c r="AA205" s="45"/>
      <c r="AB205" s="70"/>
      <c r="AC205" s="70"/>
      <c r="AD205" s="70"/>
      <c r="AE205" s="70"/>
      <c r="AF205" s="45"/>
      <c r="AG205" s="71"/>
      <c r="AH205" s="71"/>
      <c r="AI205" s="45"/>
      <c r="AJ205" s="45"/>
      <c r="AK205" s="45"/>
      <c r="AL205" s="45"/>
      <c r="AM205" s="45"/>
      <c r="AN205" s="45"/>
    </row>
    <row r="206">
      <c r="A206" s="45"/>
      <c r="B206" s="45"/>
      <c r="C206" s="45"/>
      <c r="D206" s="45"/>
      <c r="E206" s="45"/>
      <c r="F206" s="45"/>
      <c r="G206" s="69"/>
      <c r="H206" s="45"/>
      <c r="I206" s="45"/>
      <c r="J206" s="69"/>
      <c r="K206" s="45"/>
      <c r="L206" s="45"/>
      <c r="M206" s="45"/>
      <c r="N206" s="69"/>
      <c r="O206" s="45"/>
      <c r="P206" s="45"/>
      <c r="Q206" s="69"/>
      <c r="R206" s="45"/>
      <c r="S206" s="45"/>
      <c r="T206" s="69"/>
      <c r="U206" s="45"/>
      <c r="V206" s="45"/>
      <c r="W206" s="45"/>
      <c r="X206" s="45"/>
      <c r="Y206" s="69"/>
      <c r="Z206" s="45"/>
      <c r="AA206" s="45"/>
      <c r="AB206" s="70"/>
      <c r="AC206" s="70"/>
      <c r="AD206" s="70"/>
      <c r="AE206" s="70"/>
      <c r="AF206" s="45"/>
      <c r="AG206" s="71"/>
      <c r="AH206" s="71"/>
      <c r="AI206" s="45"/>
      <c r="AJ206" s="45"/>
      <c r="AK206" s="45"/>
      <c r="AL206" s="45"/>
      <c r="AM206" s="45"/>
      <c r="AN206" s="45"/>
    </row>
    <row r="207">
      <c r="A207" s="45"/>
      <c r="B207" s="45"/>
      <c r="C207" s="45"/>
      <c r="D207" s="45"/>
      <c r="E207" s="45"/>
      <c r="F207" s="45"/>
      <c r="G207" s="69"/>
      <c r="H207" s="45"/>
      <c r="I207" s="45"/>
      <c r="J207" s="69"/>
      <c r="K207" s="45"/>
      <c r="L207" s="45"/>
      <c r="M207" s="45"/>
      <c r="N207" s="69"/>
      <c r="O207" s="45"/>
      <c r="P207" s="45"/>
      <c r="Q207" s="69"/>
      <c r="R207" s="45"/>
      <c r="S207" s="45"/>
      <c r="T207" s="69"/>
      <c r="U207" s="45"/>
      <c r="V207" s="45"/>
      <c r="W207" s="45"/>
      <c r="X207" s="45"/>
      <c r="Y207" s="69"/>
      <c r="Z207" s="45"/>
      <c r="AA207" s="45"/>
      <c r="AB207" s="70"/>
      <c r="AC207" s="70"/>
      <c r="AD207" s="70"/>
      <c r="AE207" s="70"/>
      <c r="AF207" s="45"/>
      <c r="AG207" s="71"/>
      <c r="AH207" s="71"/>
      <c r="AI207" s="45"/>
      <c r="AJ207" s="45"/>
      <c r="AK207" s="45"/>
      <c r="AL207" s="45"/>
      <c r="AM207" s="45"/>
      <c r="AN207" s="45"/>
    </row>
    <row r="208">
      <c r="A208" s="45"/>
      <c r="B208" s="45"/>
      <c r="C208" s="45"/>
      <c r="D208" s="45"/>
      <c r="E208" s="45"/>
      <c r="F208" s="45"/>
      <c r="G208" s="69"/>
      <c r="H208" s="45"/>
      <c r="I208" s="45"/>
      <c r="J208" s="69"/>
      <c r="K208" s="45"/>
      <c r="L208" s="45"/>
      <c r="M208" s="45"/>
      <c r="N208" s="69"/>
      <c r="O208" s="45"/>
      <c r="P208" s="45"/>
      <c r="Q208" s="69"/>
      <c r="R208" s="45"/>
      <c r="S208" s="45"/>
      <c r="T208" s="69"/>
      <c r="U208" s="45"/>
      <c r="V208" s="45"/>
      <c r="W208" s="45"/>
      <c r="X208" s="45"/>
      <c r="Y208" s="69"/>
      <c r="Z208" s="45"/>
      <c r="AA208" s="45"/>
      <c r="AB208" s="70"/>
      <c r="AC208" s="70"/>
      <c r="AD208" s="70"/>
      <c r="AE208" s="70"/>
      <c r="AF208" s="45"/>
      <c r="AG208" s="71"/>
      <c r="AH208" s="71"/>
      <c r="AI208" s="45"/>
      <c r="AJ208" s="45"/>
      <c r="AK208" s="45"/>
      <c r="AL208" s="45"/>
      <c r="AM208" s="45"/>
      <c r="AN208" s="45"/>
    </row>
    <row r="209">
      <c r="A209" s="45"/>
      <c r="B209" s="45"/>
      <c r="C209" s="45"/>
      <c r="D209" s="45"/>
      <c r="E209" s="45"/>
      <c r="F209" s="45"/>
      <c r="G209" s="69"/>
      <c r="H209" s="45"/>
      <c r="I209" s="45"/>
      <c r="J209" s="69"/>
      <c r="K209" s="45"/>
      <c r="L209" s="45"/>
      <c r="M209" s="45"/>
      <c r="N209" s="69"/>
      <c r="O209" s="45"/>
      <c r="P209" s="45"/>
      <c r="Q209" s="69"/>
      <c r="R209" s="45"/>
      <c r="S209" s="45"/>
      <c r="T209" s="69"/>
      <c r="U209" s="45"/>
      <c r="V209" s="45"/>
      <c r="W209" s="45"/>
      <c r="X209" s="45"/>
      <c r="Y209" s="69"/>
      <c r="Z209" s="45"/>
      <c r="AA209" s="45"/>
      <c r="AB209" s="70"/>
      <c r="AC209" s="70"/>
      <c r="AD209" s="70"/>
      <c r="AE209" s="70"/>
      <c r="AF209" s="45"/>
      <c r="AG209" s="71"/>
      <c r="AH209" s="71"/>
      <c r="AI209" s="45"/>
      <c r="AJ209" s="45"/>
      <c r="AK209" s="45"/>
      <c r="AL209" s="45"/>
      <c r="AM209" s="45"/>
      <c r="AN209" s="45"/>
    </row>
    <row r="210">
      <c r="A210" s="45"/>
      <c r="B210" s="45"/>
      <c r="C210" s="45"/>
      <c r="D210" s="45"/>
      <c r="E210" s="45"/>
      <c r="F210" s="45"/>
      <c r="G210" s="69"/>
      <c r="H210" s="45"/>
      <c r="I210" s="45"/>
      <c r="J210" s="69"/>
      <c r="K210" s="45"/>
      <c r="L210" s="45"/>
      <c r="M210" s="45"/>
      <c r="N210" s="69"/>
      <c r="O210" s="45"/>
      <c r="P210" s="45"/>
      <c r="Q210" s="69"/>
      <c r="R210" s="45"/>
      <c r="S210" s="45"/>
      <c r="T210" s="69"/>
      <c r="U210" s="45"/>
      <c r="V210" s="45"/>
      <c r="W210" s="45"/>
      <c r="X210" s="45"/>
      <c r="Y210" s="69"/>
      <c r="Z210" s="45"/>
      <c r="AA210" s="45"/>
      <c r="AB210" s="70"/>
      <c r="AC210" s="70"/>
      <c r="AD210" s="70"/>
      <c r="AE210" s="70"/>
      <c r="AF210" s="45"/>
      <c r="AG210" s="71"/>
      <c r="AH210" s="71"/>
      <c r="AI210" s="45"/>
      <c r="AJ210" s="45"/>
      <c r="AK210" s="45"/>
      <c r="AL210" s="45"/>
      <c r="AM210" s="45"/>
      <c r="AN210" s="45"/>
    </row>
    <row r="211">
      <c r="A211" s="45"/>
      <c r="B211" s="45"/>
      <c r="C211" s="45"/>
      <c r="D211" s="45"/>
      <c r="E211" s="45"/>
      <c r="F211" s="45"/>
      <c r="G211" s="69"/>
      <c r="H211" s="45"/>
      <c r="I211" s="45"/>
      <c r="J211" s="69"/>
      <c r="K211" s="45"/>
      <c r="L211" s="45"/>
      <c r="M211" s="45"/>
      <c r="N211" s="69"/>
      <c r="O211" s="45"/>
      <c r="P211" s="45"/>
      <c r="Q211" s="69"/>
      <c r="R211" s="45"/>
      <c r="S211" s="45"/>
      <c r="T211" s="69"/>
      <c r="U211" s="45"/>
      <c r="V211" s="45"/>
      <c r="W211" s="45"/>
      <c r="X211" s="45"/>
      <c r="Y211" s="69"/>
      <c r="Z211" s="45"/>
      <c r="AA211" s="45"/>
      <c r="AB211" s="70"/>
      <c r="AC211" s="70"/>
      <c r="AD211" s="70"/>
      <c r="AE211" s="70"/>
      <c r="AF211" s="45"/>
      <c r="AG211" s="71"/>
      <c r="AH211" s="71"/>
      <c r="AI211" s="45"/>
      <c r="AJ211" s="45"/>
      <c r="AK211" s="45"/>
      <c r="AL211" s="45"/>
      <c r="AM211" s="45"/>
      <c r="AN211" s="45"/>
    </row>
    <row r="212">
      <c r="A212" s="45"/>
      <c r="B212" s="45"/>
      <c r="C212" s="45"/>
      <c r="D212" s="45"/>
      <c r="E212" s="45"/>
      <c r="F212" s="45"/>
      <c r="G212" s="69"/>
      <c r="H212" s="45"/>
      <c r="I212" s="45"/>
      <c r="J212" s="69"/>
      <c r="K212" s="45"/>
      <c r="L212" s="45"/>
      <c r="M212" s="45"/>
      <c r="N212" s="69"/>
      <c r="O212" s="45"/>
      <c r="P212" s="45"/>
      <c r="Q212" s="69"/>
      <c r="R212" s="45"/>
      <c r="S212" s="45"/>
      <c r="T212" s="69"/>
      <c r="U212" s="45"/>
      <c r="V212" s="45"/>
      <c r="W212" s="45"/>
      <c r="X212" s="45"/>
      <c r="Y212" s="69"/>
      <c r="Z212" s="45"/>
      <c r="AA212" s="45"/>
      <c r="AB212" s="70"/>
      <c r="AC212" s="70"/>
      <c r="AD212" s="70"/>
      <c r="AE212" s="70"/>
      <c r="AF212" s="45"/>
      <c r="AG212" s="71"/>
      <c r="AH212" s="71"/>
      <c r="AI212" s="45"/>
      <c r="AJ212" s="45"/>
      <c r="AK212" s="45"/>
      <c r="AL212" s="45"/>
      <c r="AM212" s="45"/>
      <c r="AN212" s="45"/>
    </row>
    <row r="213">
      <c r="A213" s="45"/>
      <c r="B213" s="45"/>
      <c r="C213" s="45"/>
      <c r="D213" s="45"/>
      <c r="E213" s="45"/>
      <c r="F213" s="45"/>
      <c r="G213" s="69"/>
      <c r="H213" s="45"/>
      <c r="I213" s="45"/>
      <c r="J213" s="69"/>
      <c r="K213" s="45"/>
      <c r="L213" s="45"/>
      <c r="M213" s="45"/>
      <c r="N213" s="69"/>
      <c r="O213" s="45"/>
      <c r="P213" s="45"/>
      <c r="Q213" s="69"/>
      <c r="R213" s="45"/>
      <c r="S213" s="45"/>
      <c r="T213" s="69"/>
      <c r="U213" s="45"/>
      <c r="V213" s="45"/>
      <c r="W213" s="45"/>
      <c r="X213" s="45"/>
      <c r="Y213" s="69"/>
      <c r="Z213" s="45"/>
      <c r="AA213" s="45"/>
      <c r="AB213" s="70"/>
      <c r="AC213" s="70"/>
      <c r="AD213" s="70"/>
      <c r="AE213" s="70"/>
      <c r="AF213" s="45"/>
      <c r="AG213" s="71"/>
      <c r="AH213" s="71"/>
      <c r="AI213" s="45"/>
      <c r="AJ213" s="45"/>
      <c r="AK213" s="45"/>
      <c r="AL213" s="45"/>
      <c r="AM213" s="45"/>
      <c r="AN213" s="45"/>
    </row>
    <row r="214">
      <c r="A214" s="45"/>
      <c r="B214" s="45"/>
      <c r="C214" s="45"/>
      <c r="D214" s="45"/>
      <c r="E214" s="45"/>
      <c r="F214" s="45"/>
      <c r="G214" s="69"/>
      <c r="H214" s="45"/>
      <c r="I214" s="45"/>
      <c r="J214" s="69"/>
      <c r="K214" s="45"/>
      <c r="L214" s="45"/>
      <c r="M214" s="45"/>
      <c r="N214" s="69"/>
      <c r="O214" s="45"/>
      <c r="P214" s="45"/>
      <c r="Q214" s="69"/>
      <c r="R214" s="45"/>
      <c r="S214" s="45"/>
      <c r="T214" s="69"/>
      <c r="U214" s="45"/>
      <c r="V214" s="45"/>
      <c r="W214" s="45"/>
      <c r="X214" s="45"/>
      <c r="Y214" s="69"/>
      <c r="Z214" s="45"/>
      <c r="AA214" s="45"/>
      <c r="AB214" s="70"/>
      <c r="AC214" s="70"/>
      <c r="AD214" s="70"/>
      <c r="AE214" s="70"/>
      <c r="AF214" s="45"/>
      <c r="AG214" s="71"/>
      <c r="AH214" s="71"/>
      <c r="AI214" s="45"/>
      <c r="AJ214" s="45"/>
      <c r="AK214" s="45"/>
      <c r="AL214" s="45"/>
      <c r="AM214" s="45"/>
      <c r="AN214" s="45"/>
    </row>
    <row r="215">
      <c r="A215" s="45"/>
      <c r="B215" s="45"/>
      <c r="C215" s="45"/>
      <c r="D215" s="45"/>
      <c r="E215" s="45"/>
      <c r="F215" s="45"/>
      <c r="G215" s="69"/>
      <c r="H215" s="45"/>
      <c r="I215" s="45"/>
      <c r="J215" s="69"/>
      <c r="K215" s="45"/>
      <c r="L215" s="45"/>
      <c r="M215" s="45"/>
      <c r="N215" s="69"/>
      <c r="O215" s="45"/>
      <c r="P215" s="45"/>
      <c r="Q215" s="69"/>
      <c r="R215" s="45"/>
      <c r="S215" s="45"/>
      <c r="T215" s="69"/>
      <c r="U215" s="45"/>
      <c r="V215" s="45"/>
      <c r="W215" s="45"/>
      <c r="X215" s="45"/>
      <c r="Y215" s="69"/>
      <c r="Z215" s="45"/>
      <c r="AA215" s="45"/>
      <c r="AB215" s="70"/>
      <c r="AC215" s="70"/>
      <c r="AD215" s="70"/>
      <c r="AE215" s="70"/>
      <c r="AF215" s="45"/>
      <c r="AG215" s="71"/>
      <c r="AH215" s="71"/>
      <c r="AI215" s="45"/>
      <c r="AJ215" s="45"/>
      <c r="AK215" s="45"/>
      <c r="AL215" s="45"/>
      <c r="AM215" s="45"/>
      <c r="AN215" s="45"/>
    </row>
    <row r="216">
      <c r="A216" s="45"/>
      <c r="B216" s="45"/>
      <c r="C216" s="45"/>
      <c r="D216" s="45"/>
      <c r="E216" s="45"/>
      <c r="F216" s="45"/>
      <c r="G216" s="69"/>
      <c r="H216" s="45"/>
      <c r="I216" s="45"/>
      <c r="J216" s="69"/>
      <c r="K216" s="45"/>
      <c r="L216" s="45"/>
      <c r="M216" s="45"/>
      <c r="N216" s="69"/>
      <c r="O216" s="45"/>
      <c r="P216" s="45"/>
      <c r="Q216" s="69"/>
      <c r="R216" s="45"/>
      <c r="S216" s="45"/>
      <c r="T216" s="69"/>
      <c r="U216" s="45"/>
      <c r="V216" s="45"/>
      <c r="W216" s="45"/>
      <c r="X216" s="45"/>
      <c r="Y216" s="69"/>
      <c r="Z216" s="45"/>
      <c r="AA216" s="45"/>
      <c r="AB216" s="70"/>
      <c r="AC216" s="70"/>
      <c r="AD216" s="70"/>
      <c r="AE216" s="70"/>
      <c r="AF216" s="45"/>
      <c r="AG216" s="71"/>
      <c r="AH216" s="71"/>
      <c r="AI216" s="45"/>
      <c r="AJ216" s="45"/>
      <c r="AK216" s="45"/>
      <c r="AL216" s="45"/>
      <c r="AM216" s="45"/>
      <c r="AN216" s="45"/>
    </row>
    <row r="217">
      <c r="A217" s="45"/>
      <c r="B217" s="45"/>
      <c r="C217" s="45"/>
      <c r="D217" s="45"/>
      <c r="E217" s="45"/>
      <c r="F217" s="45"/>
      <c r="G217" s="69"/>
      <c r="H217" s="45"/>
      <c r="I217" s="45"/>
      <c r="J217" s="69"/>
      <c r="K217" s="45"/>
      <c r="L217" s="45"/>
      <c r="M217" s="45"/>
      <c r="N217" s="69"/>
      <c r="O217" s="45"/>
      <c r="P217" s="45"/>
      <c r="Q217" s="69"/>
      <c r="R217" s="45"/>
      <c r="S217" s="45"/>
      <c r="T217" s="69"/>
      <c r="U217" s="45"/>
      <c r="V217" s="45"/>
      <c r="W217" s="45"/>
      <c r="X217" s="45"/>
      <c r="Y217" s="69"/>
      <c r="Z217" s="45"/>
      <c r="AA217" s="45"/>
      <c r="AB217" s="70"/>
      <c r="AC217" s="70"/>
      <c r="AD217" s="70"/>
      <c r="AE217" s="70"/>
      <c r="AF217" s="45"/>
      <c r="AG217" s="71"/>
      <c r="AH217" s="71"/>
      <c r="AI217" s="45"/>
      <c r="AJ217" s="45"/>
      <c r="AK217" s="45"/>
      <c r="AL217" s="45"/>
      <c r="AM217" s="45"/>
      <c r="AN217" s="45"/>
    </row>
    <row r="218">
      <c r="A218" s="45"/>
      <c r="B218" s="45"/>
      <c r="C218" s="45"/>
      <c r="D218" s="45"/>
      <c r="E218" s="45"/>
      <c r="F218" s="45"/>
      <c r="G218" s="69"/>
      <c r="H218" s="45"/>
      <c r="I218" s="45"/>
      <c r="J218" s="69"/>
      <c r="K218" s="45"/>
      <c r="L218" s="45"/>
      <c r="M218" s="45"/>
      <c r="N218" s="69"/>
      <c r="O218" s="45"/>
      <c r="P218" s="45"/>
      <c r="Q218" s="69"/>
      <c r="R218" s="45"/>
      <c r="S218" s="45"/>
      <c r="T218" s="69"/>
      <c r="U218" s="45"/>
      <c r="V218" s="45"/>
      <c r="W218" s="45"/>
      <c r="X218" s="45"/>
      <c r="Y218" s="69"/>
      <c r="Z218" s="45"/>
      <c r="AA218" s="45"/>
      <c r="AB218" s="70"/>
      <c r="AC218" s="70"/>
      <c r="AD218" s="70"/>
      <c r="AE218" s="70"/>
      <c r="AF218" s="45"/>
      <c r="AG218" s="71"/>
      <c r="AH218" s="71"/>
      <c r="AI218" s="45"/>
      <c r="AJ218" s="45"/>
      <c r="AK218" s="45"/>
      <c r="AL218" s="45"/>
      <c r="AM218" s="45"/>
      <c r="AN218" s="45"/>
    </row>
    <row r="219">
      <c r="A219" s="45"/>
      <c r="B219" s="45"/>
      <c r="C219" s="45"/>
      <c r="D219" s="45"/>
      <c r="E219" s="45"/>
      <c r="F219" s="45"/>
      <c r="G219" s="69"/>
      <c r="H219" s="45"/>
      <c r="I219" s="45"/>
      <c r="J219" s="69"/>
      <c r="K219" s="45"/>
      <c r="L219" s="45"/>
      <c r="M219" s="45"/>
      <c r="N219" s="69"/>
      <c r="O219" s="45"/>
      <c r="P219" s="45"/>
      <c r="Q219" s="69"/>
      <c r="R219" s="45"/>
      <c r="S219" s="45"/>
      <c r="T219" s="69"/>
      <c r="U219" s="45"/>
      <c r="V219" s="45"/>
      <c r="W219" s="45"/>
      <c r="X219" s="45"/>
      <c r="Y219" s="69"/>
      <c r="Z219" s="45"/>
      <c r="AA219" s="45"/>
      <c r="AB219" s="70"/>
      <c r="AC219" s="70"/>
      <c r="AD219" s="70"/>
      <c r="AE219" s="70"/>
      <c r="AF219" s="45"/>
      <c r="AG219" s="71"/>
      <c r="AH219" s="71"/>
      <c r="AI219" s="45"/>
      <c r="AJ219" s="45"/>
      <c r="AK219" s="45"/>
      <c r="AL219" s="45"/>
      <c r="AM219" s="45"/>
      <c r="AN219" s="45"/>
    </row>
    <row r="220">
      <c r="A220" s="45"/>
      <c r="B220" s="45"/>
      <c r="C220" s="45"/>
      <c r="D220" s="45"/>
      <c r="E220" s="45"/>
      <c r="F220" s="45"/>
      <c r="G220" s="69"/>
      <c r="H220" s="45"/>
      <c r="I220" s="45"/>
      <c r="J220" s="69"/>
      <c r="K220" s="45"/>
      <c r="L220" s="45"/>
      <c r="M220" s="45"/>
      <c r="N220" s="69"/>
      <c r="O220" s="45"/>
      <c r="P220" s="45"/>
      <c r="Q220" s="69"/>
      <c r="R220" s="45"/>
      <c r="S220" s="45"/>
      <c r="T220" s="69"/>
      <c r="U220" s="45"/>
      <c r="V220" s="45"/>
      <c r="W220" s="45"/>
      <c r="X220" s="45"/>
      <c r="Y220" s="69"/>
      <c r="Z220" s="45"/>
      <c r="AA220" s="45"/>
      <c r="AB220" s="70"/>
      <c r="AC220" s="70"/>
      <c r="AD220" s="70"/>
      <c r="AE220" s="70"/>
      <c r="AF220" s="45"/>
      <c r="AG220" s="71"/>
      <c r="AH220" s="71"/>
      <c r="AI220" s="45"/>
      <c r="AJ220" s="45"/>
      <c r="AK220" s="45"/>
      <c r="AL220" s="45"/>
      <c r="AM220" s="45"/>
      <c r="AN220" s="45"/>
    </row>
    <row r="221">
      <c r="A221" s="45"/>
      <c r="B221" s="45"/>
      <c r="C221" s="45"/>
      <c r="D221" s="45"/>
      <c r="E221" s="45"/>
      <c r="F221" s="45"/>
      <c r="G221" s="69"/>
      <c r="H221" s="45"/>
      <c r="I221" s="45"/>
      <c r="J221" s="69"/>
      <c r="K221" s="45"/>
      <c r="L221" s="45"/>
      <c r="M221" s="45"/>
      <c r="N221" s="69"/>
      <c r="O221" s="45"/>
      <c r="P221" s="45"/>
      <c r="Q221" s="69"/>
      <c r="R221" s="45"/>
      <c r="S221" s="45"/>
      <c r="T221" s="69"/>
      <c r="U221" s="45"/>
      <c r="V221" s="45"/>
      <c r="W221" s="45"/>
      <c r="X221" s="45"/>
      <c r="Y221" s="69"/>
      <c r="Z221" s="45"/>
      <c r="AA221" s="45"/>
      <c r="AB221" s="70"/>
      <c r="AC221" s="70"/>
      <c r="AD221" s="70"/>
      <c r="AE221" s="70"/>
      <c r="AF221" s="45"/>
      <c r="AG221" s="71"/>
      <c r="AH221" s="71"/>
      <c r="AI221" s="45"/>
      <c r="AJ221" s="45"/>
      <c r="AK221" s="45"/>
      <c r="AL221" s="45"/>
      <c r="AM221" s="45"/>
      <c r="AN221" s="45"/>
    </row>
    <row r="222">
      <c r="A222" s="45"/>
      <c r="B222" s="45"/>
      <c r="C222" s="45"/>
      <c r="D222" s="45"/>
      <c r="E222" s="45"/>
      <c r="F222" s="45"/>
      <c r="G222" s="69"/>
      <c r="H222" s="45"/>
      <c r="I222" s="45"/>
      <c r="J222" s="69"/>
      <c r="K222" s="45"/>
      <c r="L222" s="45"/>
      <c r="M222" s="45"/>
      <c r="N222" s="69"/>
      <c r="O222" s="45"/>
      <c r="P222" s="45"/>
      <c r="Q222" s="69"/>
      <c r="R222" s="45"/>
      <c r="S222" s="45"/>
      <c r="T222" s="69"/>
      <c r="U222" s="45"/>
      <c r="V222" s="45"/>
      <c r="W222" s="45"/>
      <c r="X222" s="45"/>
      <c r="Y222" s="69"/>
      <c r="Z222" s="45"/>
      <c r="AA222" s="45"/>
      <c r="AB222" s="70"/>
      <c r="AC222" s="70"/>
      <c r="AD222" s="70"/>
      <c r="AE222" s="70"/>
      <c r="AF222" s="45"/>
      <c r="AG222" s="71"/>
      <c r="AH222" s="71"/>
      <c r="AI222" s="45"/>
      <c r="AJ222" s="45"/>
      <c r="AK222" s="45"/>
      <c r="AL222" s="45"/>
      <c r="AM222" s="45"/>
      <c r="AN222" s="45"/>
    </row>
    <row r="223">
      <c r="A223" s="45"/>
      <c r="B223" s="45"/>
      <c r="C223" s="45"/>
      <c r="D223" s="45"/>
      <c r="E223" s="45"/>
      <c r="F223" s="45"/>
      <c r="G223" s="69"/>
      <c r="H223" s="45"/>
      <c r="I223" s="45"/>
      <c r="J223" s="69"/>
      <c r="K223" s="45"/>
      <c r="L223" s="45"/>
      <c r="M223" s="45"/>
      <c r="N223" s="69"/>
      <c r="O223" s="45"/>
      <c r="P223" s="45"/>
      <c r="Q223" s="69"/>
      <c r="R223" s="45"/>
      <c r="S223" s="45"/>
      <c r="T223" s="69"/>
      <c r="U223" s="45"/>
      <c r="V223" s="45"/>
      <c r="W223" s="45"/>
      <c r="X223" s="45"/>
      <c r="Y223" s="69"/>
      <c r="Z223" s="45"/>
      <c r="AA223" s="45"/>
      <c r="AB223" s="70"/>
      <c r="AC223" s="70"/>
      <c r="AD223" s="70"/>
      <c r="AE223" s="70"/>
      <c r="AF223" s="45"/>
      <c r="AG223" s="71"/>
      <c r="AH223" s="71"/>
      <c r="AI223" s="45"/>
      <c r="AJ223" s="45"/>
      <c r="AK223" s="45"/>
      <c r="AL223" s="45"/>
      <c r="AM223" s="45"/>
      <c r="AN223" s="45"/>
    </row>
    <row r="224">
      <c r="A224" s="45"/>
      <c r="B224" s="45"/>
      <c r="C224" s="45"/>
      <c r="D224" s="45"/>
      <c r="E224" s="45"/>
      <c r="F224" s="45"/>
      <c r="G224" s="69"/>
      <c r="H224" s="45"/>
      <c r="I224" s="45"/>
      <c r="J224" s="69"/>
      <c r="K224" s="45"/>
      <c r="L224" s="45"/>
      <c r="M224" s="45"/>
      <c r="N224" s="69"/>
      <c r="O224" s="45"/>
      <c r="P224" s="45"/>
      <c r="Q224" s="69"/>
      <c r="R224" s="45"/>
      <c r="S224" s="45"/>
      <c r="T224" s="69"/>
      <c r="U224" s="45"/>
      <c r="V224" s="45"/>
      <c r="W224" s="45"/>
      <c r="X224" s="45"/>
      <c r="Y224" s="69"/>
      <c r="Z224" s="45"/>
      <c r="AA224" s="45"/>
      <c r="AB224" s="70"/>
      <c r="AC224" s="70"/>
      <c r="AD224" s="70"/>
      <c r="AE224" s="70"/>
      <c r="AF224" s="45"/>
      <c r="AG224" s="71"/>
      <c r="AH224" s="71"/>
      <c r="AI224" s="45"/>
      <c r="AJ224" s="45"/>
      <c r="AK224" s="45"/>
      <c r="AL224" s="45"/>
      <c r="AM224" s="45"/>
      <c r="AN224" s="45"/>
    </row>
    <row r="225">
      <c r="A225" s="45"/>
      <c r="B225" s="45"/>
      <c r="C225" s="45"/>
      <c r="D225" s="45"/>
      <c r="E225" s="45"/>
      <c r="F225" s="45"/>
      <c r="G225" s="69"/>
      <c r="H225" s="45"/>
      <c r="I225" s="45"/>
      <c r="J225" s="69"/>
      <c r="K225" s="45"/>
      <c r="L225" s="45"/>
      <c r="M225" s="45"/>
      <c r="N225" s="69"/>
      <c r="O225" s="45"/>
      <c r="P225" s="45"/>
      <c r="Q225" s="69"/>
      <c r="R225" s="45"/>
      <c r="S225" s="45"/>
      <c r="T225" s="69"/>
      <c r="U225" s="45"/>
      <c r="V225" s="45"/>
      <c r="W225" s="45"/>
      <c r="X225" s="45"/>
      <c r="Y225" s="69"/>
      <c r="Z225" s="45"/>
      <c r="AA225" s="45"/>
      <c r="AB225" s="70"/>
      <c r="AC225" s="70"/>
      <c r="AD225" s="70"/>
      <c r="AE225" s="70"/>
      <c r="AF225" s="45"/>
      <c r="AG225" s="71"/>
      <c r="AH225" s="71"/>
      <c r="AI225" s="45"/>
      <c r="AJ225" s="45"/>
      <c r="AK225" s="45"/>
      <c r="AL225" s="45"/>
      <c r="AM225" s="45"/>
      <c r="AN225" s="45"/>
    </row>
    <row r="226">
      <c r="A226" s="45"/>
      <c r="B226" s="45"/>
      <c r="C226" s="45"/>
      <c r="D226" s="45"/>
      <c r="E226" s="45"/>
      <c r="F226" s="45"/>
      <c r="G226" s="69"/>
      <c r="H226" s="45"/>
      <c r="I226" s="45"/>
      <c r="J226" s="69"/>
      <c r="K226" s="45"/>
      <c r="L226" s="45"/>
      <c r="M226" s="45"/>
      <c r="N226" s="69"/>
      <c r="O226" s="45"/>
      <c r="P226" s="45"/>
      <c r="Q226" s="69"/>
      <c r="R226" s="45"/>
      <c r="S226" s="45"/>
      <c r="T226" s="69"/>
      <c r="U226" s="45"/>
      <c r="V226" s="45"/>
      <c r="W226" s="45"/>
      <c r="X226" s="45"/>
      <c r="Y226" s="69"/>
      <c r="Z226" s="45"/>
      <c r="AA226" s="45"/>
      <c r="AB226" s="70"/>
      <c r="AC226" s="70"/>
      <c r="AD226" s="70"/>
      <c r="AE226" s="70"/>
      <c r="AF226" s="45"/>
      <c r="AG226" s="71"/>
      <c r="AH226" s="71"/>
      <c r="AI226" s="45"/>
      <c r="AJ226" s="45"/>
      <c r="AK226" s="45"/>
      <c r="AL226" s="45"/>
      <c r="AM226" s="45"/>
      <c r="AN226" s="45"/>
    </row>
    <row r="227">
      <c r="A227" s="45"/>
      <c r="B227" s="45"/>
      <c r="C227" s="45"/>
      <c r="D227" s="45"/>
      <c r="E227" s="45"/>
      <c r="F227" s="45"/>
      <c r="G227" s="69"/>
      <c r="H227" s="45"/>
      <c r="I227" s="45"/>
      <c r="J227" s="69"/>
      <c r="K227" s="45"/>
      <c r="L227" s="45"/>
      <c r="M227" s="45"/>
      <c r="N227" s="69"/>
      <c r="O227" s="45"/>
      <c r="P227" s="45"/>
      <c r="Q227" s="69"/>
      <c r="R227" s="45"/>
      <c r="S227" s="45"/>
      <c r="T227" s="69"/>
      <c r="U227" s="45"/>
      <c r="V227" s="45"/>
      <c r="W227" s="45"/>
      <c r="X227" s="45"/>
      <c r="Y227" s="69"/>
      <c r="Z227" s="45"/>
      <c r="AA227" s="45"/>
      <c r="AB227" s="70"/>
      <c r="AC227" s="70"/>
      <c r="AD227" s="70"/>
      <c r="AE227" s="70"/>
      <c r="AF227" s="45"/>
      <c r="AG227" s="71"/>
      <c r="AH227" s="71"/>
      <c r="AI227" s="45"/>
      <c r="AJ227" s="45"/>
      <c r="AK227" s="45"/>
      <c r="AL227" s="45"/>
      <c r="AM227" s="45"/>
      <c r="AN227" s="45"/>
    </row>
    <row r="228">
      <c r="A228" s="45"/>
      <c r="B228" s="45"/>
      <c r="C228" s="45"/>
      <c r="D228" s="45"/>
      <c r="E228" s="45"/>
      <c r="F228" s="45"/>
      <c r="G228" s="69"/>
      <c r="H228" s="45"/>
      <c r="I228" s="45"/>
      <c r="J228" s="69"/>
      <c r="K228" s="45"/>
      <c r="L228" s="45"/>
      <c r="M228" s="45"/>
      <c r="N228" s="69"/>
      <c r="O228" s="45"/>
      <c r="P228" s="45"/>
      <c r="Q228" s="69"/>
      <c r="R228" s="45"/>
      <c r="S228" s="45"/>
      <c r="T228" s="69"/>
      <c r="U228" s="45"/>
      <c r="V228" s="45"/>
      <c r="W228" s="45"/>
      <c r="X228" s="45"/>
      <c r="Y228" s="69"/>
      <c r="Z228" s="45"/>
      <c r="AA228" s="45"/>
      <c r="AB228" s="70"/>
      <c r="AC228" s="70"/>
      <c r="AD228" s="70"/>
      <c r="AE228" s="70"/>
      <c r="AF228" s="45"/>
      <c r="AG228" s="71"/>
      <c r="AH228" s="71"/>
      <c r="AI228" s="45"/>
      <c r="AJ228" s="45"/>
      <c r="AK228" s="45"/>
      <c r="AL228" s="45"/>
      <c r="AM228" s="45"/>
      <c r="AN228" s="45"/>
    </row>
    <row r="229">
      <c r="A229" s="45"/>
      <c r="B229" s="45"/>
      <c r="C229" s="45"/>
      <c r="D229" s="45"/>
      <c r="E229" s="45"/>
      <c r="F229" s="45"/>
      <c r="G229" s="69"/>
      <c r="H229" s="45"/>
      <c r="I229" s="45"/>
      <c r="J229" s="69"/>
      <c r="K229" s="45"/>
      <c r="L229" s="45"/>
      <c r="M229" s="45"/>
      <c r="N229" s="69"/>
      <c r="O229" s="45"/>
      <c r="P229" s="45"/>
      <c r="Q229" s="69"/>
      <c r="R229" s="45"/>
      <c r="S229" s="45"/>
      <c r="T229" s="69"/>
      <c r="U229" s="45"/>
      <c r="V229" s="45"/>
      <c r="W229" s="45"/>
      <c r="X229" s="45"/>
      <c r="Y229" s="69"/>
      <c r="Z229" s="45"/>
      <c r="AA229" s="45"/>
      <c r="AB229" s="70"/>
      <c r="AC229" s="70"/>
      <c r="AD229" s="70"/>
      <c r="AE229" s="70"/>
      <c r="AF229" s="45"/>
      <c r="AG229" s="71"/>
      <c r="AH229" s="71"/>
      <c r="AI229" s="45"/>
      <c r="AJ229" s="45"/>
      <c r="AK229" s="45"/>
      <c r="AL229" s="45"/>
      <c r="AM229" s="45"/>
      <c r="AN229" s="45"/>
    </row>
    <row r="230">
      <c r="A230" s="45"/>
      <c r="B230" s="45"/>
      <c r="C230" s="45"/>
      <c r="D230" s="45"/>
      <c r="E230" s="45"/>
      <c r="F230" s="45"/>
      <c r="G230" s="69"/>
      <c r="H230" s="45"/>
      <c r="I230" s="45"/>
      <c r="J230" s="69"/>
      <c r="K230" s="45"/>
      <c r="L230" s="45"/>
      <c r="M230" s="45"/>
      <c r="N230" s="69"/>
      <c r="O230" s="45"/>
      <c r="P230" s="45"/>
      <c r="Q230" s="69"/>
      <c r="R230" s="45"/>
      <c r="S230" s="45"/>
      <c r="T230" s="69"/>
      <c r="U230" s="45"/>
      <c r="V230" s="45"/>
      <c r="W230" s="45"/>
      <c r="X230" s="45"/>
      <c r="Y230" s="69"/>
      <c r="Z230" s="45"/>
      <c r="AA230" s="45"/>
      <c r="AB230" s="70"/>
      <c r="AC230" s="70"/>
      <c r="AD230" s="70"/>
      <c r="AE230" s="70"/>
      <c r="AF230" s="45"/>
      <c r="AG230" s="71"/>
      <c r="AH230" s="71"/>
      <c r="AI230" s="45"/>
      <c r="AJ230" s="45"/>
      <c r="AK230" s="45"/>
      <c r="AL230" s="45"/>
      <c r="AM230" s="45"/>
      <c r="AN230" s="45"/>
    </row>
    <row r="231">
      <c r="A231" s="45"/>
      <c r="B231" s="45"/>
      <c r="C231" s="45"/>
      <c r="D231" s="45"/>
      <c r="E231" s="45"/>
      <c r="F231" s="45"/>
      <c r="G231" s="69"/>
      <c r="H231" s="45"/>
      <c r="I231" s="45"/>
      <c r="J231" s="69"/>
      <c r="K231" s="45"/>
      <c r="L231" s="45"/>
      <c r="M231" s="45"/>
      <c r="N231" s="69"/>
      <c r="O231" s="45"/>
      <c r="P231" s="45"/>
      <c r="Q231" s="69"/>
      <c r="R231" s="45"/>
      <c r="S231" s="45"/>
      <c r="T231" s="69"/>
      <c r="U231" s="45"/>
      <c r="V231" s="45"/>
      <c r="W231" s="45"/>
      <c r="X231" s="45"/>
      <c r="Y231" s="69"/>
      <c r="Z231" s="45"/>
      <c r="AA231" s="45"/>
      <c r="AB231" s="70"/>
      <c r="AC231" s="70"/>
      <c r="AD231" s="70"/>
      <c r="AE231" s="70"/>
      <c r="AF231" s="45"/>
      <c r="AG231" s="71"/>
      <c r="AH231" s="71"/>
      <c r="AI231" s="45"/>
      <c r="AJ231" s="45"/>
      <c r="AK231" s="45"/>
      <c r="AL231" s="45"/>
      <c r="AM231" s="45"/>
      <c r="AN231" s="45"/>
    </row>
    <row r="232">
      <c r="A232" s="45"/>
      <c r="B232" s="45"/>
      <c r="C232" s="45"/>
      <c r="D232" s="45"/>
      <c r="E232" s="45"/>
      <c r="F232" s="45"/>
      <c r="G232" s="69"/>
      <c r="H232" s="45"/>
      <c r="I232" s="45"/>
      <c r="J232" s="69"/>
      <c r="K232" s="45"/>
      <c r="L232" s="45"/>
      <c r="M232" s="45"/>
      <c r="N232" s="69"/>
      <c r="O232" s="45"/>
      <c r="P232" s="45"/>
      <c r="Q232" s="69"/>
      <c r="R232" s="45"/>
      <c r="S232" s="45"/>
      <c r="T232" s="69"/>
      <c r="U232" s="45"/>
      <c r="V232" s="45"/>
      <c r="W232" s="45"/>
      <c r="X232" s="45"/>
      <c r="Y232" s="69"/>
      <c r="Z232" s="45"/>
      <c r="AA232" s="45"/>
      <c r="AB232" s="70"/>
      <c r="AC232" s="70"/>
      <c r="AD232" s="70"/>
      <c r="AE232" s="70"/>
      <c r="AF232" s="45"/>
      <c r="AG232" s="71"/>
      <c r="AH232" s="71"/>
      <c r="AI232" s="45"/>
      <c r="AJ232" s="45"/>
      <c r="AK232" s="45"/>
      <c r="AL232" s="45"/>
      <c r="AM232" s="45"/>
      <c r="AN232" s="45"/>
    </row>
    <row r="233">
      <c r="A233" s="45"/>
      <c r="B233" s="45"/>
      <c r="C233" s="45"/>
      <c r="D233" s="45"/>
      <c r="E233" s="45"/>
      <c r="F233" s="45"/>
      <c r="G233" s="69"/>
      <c r="H233" s="45"/>
      <c r="I233" s="45"/>
      <c r="J233" s="69"/>
      <c r="K233" s="45"/>
      <c r="L233" s="45"/>
      <c r="M233" s="45"/>
      <c r="N233" s="69"/>
      <c r="O233" s="45"/>
      <c r="P233" s="45"/>
      <c r="Q233" s="69"/>
      <c r="R233" s="45"/>
      <c r="S233" s="45"/>
      <c r="T233" s="69"/>
      <c r="U233" s="45"/>
      <c r="V233" s="45"/>
      <c r="W233" s="45"/>
      <c r="X233" s="45"/>
      <c r="Y233" s="69"/>
      <c r="Z233" s="45"/>
      <c r="AA233" s="45"/>
      <c r="AB233" s="70"/>
      <c r="AC233" s="70"/>
      <c r="AD233" s="70"/>
      <c r="AE233" s="70"/>
      <c r="AF233" s="45"/>
      <c r="AG233" s="71"/>
      <c r="AH233" s="71"/>
      <c r="AI233" s="45"/>
      <c r="AJ233" s="45"/>
      <c r="AK233" s="45"/>
      <c r="AL233" s="45"/>
      <c r="AM233" s="45"/>
      <c r="AN233" s="45"/>
    </row>
    <row r="234">
      <c r="A234" s="45"/>
      <c r="B234" s="45"/>
      <c r="C234" s="45"/>
      <c r="D234" s="45"/>
      <c r="E234" s="45"/>
      <c r="F234" s="45"/>
      <c r="G234" s="69"/>
      <c r="H234" s="45"/>
      <c r="I234" s="45"/>
      <c r="J234" s="69"/>
      <c r="K234" s="45"/>
      <c r="L234" s="45"/>
      <c r="M234" s="45"/>
      <c r="N234" s="69"/>
      <c r="O234" s="45"/>
      <c r="P234" s="45"/>
      <c r="Q234" s="69"/>
      <c r="R234" s="45"/>
      <c r="S234" s="45"/>
      <c r="T234" s="69"/>
      <c r="U234" s="45"/>
      <c r="V234" s="45"/>
      <c r="W234" s="45"/>
      <c r="X234" s="45"/>
      <c r="Y234" s="69"/>
      <c r="Z234" s="45"/>
      <c r="AA234" s="45"/>
      <c r="AB234" s="70"/>
      <c r="AC234" s="70"/>
      <c r="AD234" s="70"/>
      <c r="AE234" s="70"/>
      <c r="AF234" s="45"/>
      <c r="AG234" s="71"/>
      <c r="AH234" s="71"/>
      <c r="AI234" s="45"/>
      <c r="AJ234" s="45"/>
      <c r="AK234" s="45"/>
      <c r="AL234" s="45"/>
      <c r="AM234" s="45"/>
      <c r="AN234" s="45"/>
    </row>
    <row r="235">
      <c r="A235" s="45"/>
      <c r="B235" s="45"/>
      <c r="C235" s="45"/>
      <c r="D235" s="45"/>
      <c r="E235" s="45"/>
      <c r="F235" s="45"/>
      <c r="G235" s="69"/>
      <c r="H235" s="45"/>
      <c r="I235" s="45"/>
      <c r="J235" s="69"/>
      <c r="K235" s="45"/>
      <c r="L235" s="45"/>
      <c r="M235" s="45"/>
      <c r="N235" s="69"/>
      <c r="O235" s="45"/>
      <c r="P235" s="45"/>
      <c r="Q235" s="69"/>
      <c r="R235" s="45"/>
      <c r="S235" s="45"/>
      <c r="T235" s="69"/>
      <c r="U235" s="45"/>
      <c r="V235" s="45"/>
      <c r="W235" s="45"/>
      <c r="X235" s="45"/>
      <c r="Y235" s="69"/>
      <c r="Z235" s="45"/>
      <c r="AA235" s="45"/>
      <c r="AB235" s="70"/>
      <c r="AC235" s="70"/>
      <c r="AD235" s="70"/>
      <c r="AE235" s="70"/>
      <c r="AF235" s="45"/>
      <c r="AG235" s="71"/>
      <c r="AH235" s="71"/>
      <c r="AI235" s="45"/>
      <c r="AJ235" s="45"/>
      <c r="AK235" s="45"/>
      <c r="AL235" s="45"/>
      <c r="AM235" s="45"/>
      <c r="AN235" s="45"/>
    </row>
    <row r="236">
      <c r="A236" s="45"/>
      <c r="B236" s="45"/>
      <c r="C236" s="45"/>
      <c r="D236" s="45"/>
      <c r="E236" s="45"/>
      <c r="F236" s="45"/>
      <c r="G236" s="69"/>
      <c r="H236" s="45"/>
      <c r="I236" s="45"/>
      <c r="J236" s="69"/>
      <c r="K236" s="45"/>
      <c r="L236" s="45"/>
      <c r="M236" s="45"/>
      <c r="N236" s="69"/>
      <c r="O236" s="45"/>
      <c r="P236" s="45"/>
      <c r="Q236" s="69"/>
      <c r="R236" s="45"/>
      <c r="S236" s="45"/>
      <c r="T236" s="69"/>
      <c r="U236" s="45"/>
      <c r="V236" s="45"/>
      <c r="W236" s="45"/>
      <c r="X236" s="45"/>
      <c r="Y236" s="69"/>
      <c r="Z236" s="45"/>
      <c r="AA236" s="45"/>
      <c r="AB236" s="70"/>
      <c r="AC236" s="70"/>
      <c r="AD236" s="70"/>
      <c r="AE236" s="70"/>
      <c r="AF236" s="45"/>
      <c r="AG236" s="71"/>
      <c r="AH236" s="71"/>
      <c r="AI236" s="45"/>
      <c r="AJ236" s="45"/>
      <c r="AK236" s="45"/>
      <c r="AL236" s="45"/>
      <c r="AM236" s="45"/>
      <c r="AN236" s="45"/>
    </row>
    <row r="237">
      <c r="A237" s="45"/>
      <c r="B237" s="45"/>
      <c r="C237" s="45"/>
      <c r="D237" s="45"/>
      <c r="E237" s="45"/>
      <c r="F237" s="45"/>
      <c r="G237" s="69"/>
      <c r="H237" s="45"/>
      <c r="I237" s="45"/>
      <c r="J237" s="69"/>
      <c r="K237" s="45"/>
      <c r="L237" s="45"/>
      <c r="M237" s="45"/>
      <c r="N237" s="69"/>
      <c r="O237" s="45"/>
      <c r="P237" s="45"/>
      <c r="Q237" s="69"/>
      <c r="R237" s="45"/>
      <c r="S237" s="45"/>
      <c r="T237" s="69"/>
      <c r="U237" s="45"/>
      <c r="V237" s="45"/>
      <c r="W237" s="45"/>
      <c r="X237" s="45"/>
      <c r="Y237" s="69"/>
      <c r="Z237" s="45"/>
      <c r="AA237" s="45"/>
      <c r="AB237" s="70"/>
      <c r="AC237" s="70"/>
      <c r="AD237" s="70"/>
      <c r="AE237" s="70"/>
      <c r="AF237" s="45"/>
      <c r="AG237" s="71"/>
      <c r="AH237" s="71"/>
      <c r="AI237" s="45"/>
      <c r="AJ237" s="45"/>
      <c r="AK237" s="45"/>
      <c r="AL237" s="45"/>
      <c r="AM237" s="45"/>
      <c r="AN237" s="45"/>
    </row>
    <row r="238">
      <c r="A238" s="45"/>
      <c r="B238" s="45"/>
      <c r="C238" s="45"/>
      <c r="D238" s="45"/>
      <c r="E238" s="45"/>
      <c r="F238" s="45"/>
      <c r="G238" s="69"/>
      <c r="H238" s="45"/>
      <c r="I238" s="45"/>
      <c r="J238" s="69"/>
      <c r="K238" s="45"/>
      <c r="L238" s="45"/>
      <c r="M238" s="45"/>
      <c r="N238" s="69"/>
      <c r="O238" s="45"/>
      <c r="P238" s="45"/>
      <c r="Q238" s="69"/>
      <c r="R238" s="45"/>
      <c r="S238" s="45"/>
      <c r="T238" s="69"/>
      <c r="U238" s="45"/>
      <c r="V238" s="45"/>
      <c r="W238" s="45"/>
      <c r="X238" s="45"/>
      <c r="Y238" s="69"/>
      <c r="Z238" s="45"/>
      <c r="AA238" s="45"/>
      <c r="AB238" s="70"/>
      <c r="AC238" s="70"/>
      <c r="AD238" s="70"/>
      <c r="AE238" s="70"/>
      <c r="AF238" s="45"/>
      <c r="AG238" s="71"/>
      <c r="AH238" s="71"/>
      <c r="AI238" s="45"/>
      <c r="AJ238" s="45"/>
      <c r="AK238" s="45"/>
      <c r="AL238" s="45"/>
      <c r="AM238" s="45"/>
      <c r="AN238" s="45"/>
    </row>
    <row r="239">
      <c r="A239" s="45"/>
      <c r="B239" s="45"/>
      <c r="C239" s="45"/>
      <c r="D239" s="45"/>
      <c r="E239" s="45"/>
      <c r="F239" s="45"/>
      <c r="G239" s="69"/>
      <c r="H239" s="45"/>
      <c r="I239" s="45"/>
      <c r="J239" s="69"/>
      <c r="K239" s="45"/>
      <c r="L239" s="45"/>
      <c r="M239" s="45"/>
      <c r="N239" s="69"/>
      <c r="O239" s="45"/>
      <c r="P239" s="45"/>
      <c r="Q239" s="69"/>
      <c r="R239" s="45"/>
      <c r="S239" s="45"/>
      <c r="T239" s="69"/>
      <c r="U239" s="45"/>
      <c r="V239" s="45"/>
      <c r="W239" s="45"/>
      <c r="X239" s="45"/>
      <c r="Y239" s="69"/>
      <c r="Z239" s="45"/>
      <c r="AA239" s="45"/>
      <c r="AB239" s="70"/>
      <c r="AC239" s="70"/>
      <c r="AD239" s="70"/>
      <c r="AE239" s="70"/>
      <c r="AF239" s="45"/>
      <c r="AG239" s="71"/>
      <c r="AH239" s="71"/>
      <c r="AI239" s="45"/>
      <c r="AJ239" s="45"/>
      <c r="AK239" s="45"/>
      <c r="AL239" s="45"/>
      <c r="AM239" s="45"/>
      <c r="AN239" s="45"/>
    </row>
    <row r="240">
      <c r="A240" s="45"/>
      <c r="B240" s="45"/>
      <c r="C240" s="45"/>
      <c r="D240" s="45"/>
      <c r="E240" s="45"/>
      <c r="F240" s="45"/>
      <c r="G240" s="69"/>
      <c r="H240" s="45"/>
      <c r="I240" s="45"/>
      <c r="J240" s="69"/>
      <c r="K240" s="45"/>
      <c r="L240" s="45"/>
      <c r="M240" s="45"/>
      <c r="N240" s="69"/>
      <c r="O240" s="45"/>
      <c r="P240" s="45"/>
      <c r="Q240" s="69"/>
      <c r="R240" s="45"/>
      <c r="S240" s="45"/>
      <c r="T240" s="69"/>
      <c r="U240" s="45"/>
      <c r="V240" s="45"/>
      <c r="W240" s="45"/>
      <c r="X240" s="45"/>
      <c r="Y240" s="69"/>
      <c r="Z240" s="45"/>
      <c r="AA240" s="45"/>
      <c r="AB240" s="70"/>
      <c r="AC240" s="70"/>
      <c r="AD240" s="70"/>
      <c r="AE240" s="70"/>
      <c r="AF240" s="45"/>
      <c r="AG240" s="71"/>
      <c r="AH240" s="71"/>
      <c r="AI240" s="45"/>
      <c r="AJ240" s="45"/>
      <c r="AK240" s="45"/>
      <c r="AL240" s="45"/>
      <c r="AM240" s="45"/>
      <c r="AN240" s="45"/>
    </row>
    <row r="241">
      <c r="A241" s="45"/>
      <c r="B241" s="45"/>
      <c r="C241" s="45"/>
      <c r="D241" s="45"/>
      <c r="E241" s="45"/>
      <c r="F241" s="45"/>
      <c r="G241" s="69"/>
      <c r="H241" s="45"/>
      <c r="I241" s="45"/>
      <c r="J241" s="69"/>
      <c r="K241" s="45"/>
      <c r="L241" s="45"/>
      <c r="M241" s="45"/>
      <c r="N241" s="69"/>
      <c r="O241" s="45"/>
      <c r="P241" s="45"/>
      <c r="Q241" s="69"/>
      <c r="R241" s="45"/>
      <c r="S241" s="45"/>
      <c r="T241" s="69"/>
      <c r="U241" s="45"/>
      <c r="V241" s="45"/>
      <c r="W241" s="45"/>
      <c r="X241" s="45"/>
      <c r="Y241" s="69"/>
      <c r="Z241" s="45"/>
      <c r="AA241" s="45"/>
      <c r="AB241" s="70"/>
      <c r="AC241" s="70"/>
      <c r="AD241" s="70"/>
      <c r="AE241" s="70"/>
      <c r="AF241" s="45"/>
      <c r="AG241" s="71"/>
      <c r="AH241" s="71"/>
      <c r="AI241" s="45"/>
      <c r="AJ241" s="45"/>
      <c r="AK241" s="45"/>
      <c r="AL241" s="45"/>
      <c r="AM241" s="45"/>
      <c r="AN241" s="45"/>
    </row>
    <row r="242">
      <c r="A242" s="45"/>
      <c r="B242" s="45"/>
      <c r="C242" s="45"/>
      <c r="D242" s="45"/>
      <c r="E242" s="45"/>
      <c r="F242" s="45"/>
      <c r="G242" s="69"/>
      <c r="H242" s="45"/>
      <c r="I242" s="45"/>
      <c r="J242" s="69"/>
      <c r="K242" s="45"/>
      <c r="L242" s="45"/>
      <c r="M242" s="45"/>
      <c r="N242" s="69"/>
      <c r="O242" s="45"/>
      <c r="P242" s="45"/>
      <c r="Q242" s="69"/>
      <c r="R242" s="45"/>
      <c r="S242" s="45"/>
      <c r="T242" s="69"/>
      <c r="U242" s="45"/>
      <c r="V242" s="45"/>
      <c r="W242" s="45"/>
      <c r="X242" s="45"/>
      <c r="Y242" s="69"/>
      <c r="Z242" s="45"/>
      <c r="AA242" s="45"/>
      <c r="AB242" s="70"/>
      <c r="AC242" s="70"/>
      <c r="AD242" s="70"/>
      <c r="AE242" s="70"/>
      <c r="AF242" s="45"/>
      <c r="AG242" s="71"/>
      <c r="AH242" s="71"/>
      <c r="AI242" s="45"/>
      <c r="AJ242" s="45"/>
      <c r="AK242" s="45"/>
      <c r="AL242" s="45"/>
      <c r="AM242" s="45"/>
      <c r="AN242" s="45"/>
    </row>
    <row r="243">
      <c r="A243" s="45"/>
      <c r="B243" s="45"/>
      <c r="C243" s="45"/>
      <c r="D243" s="45"/>
      <c r="E243" s="45"/>
      <c r="F243" s="45"/>
      <c r="G243" s="69"/>
      <c r="H243" s="45"/>
      <c r="I243" s="45"/>
      <c r="J243" s="69"/>
      <c r="K243" s="45"/>
      <c r="L243" s="45"/>
      <c r="M243" s="45"/>
      <c r="N243" s="69"/>
      <c r="O243" s="45"/>
      <c r="P243" s="45"/>
      <c r="Q243" s="69"/>
      <c r="R243" s="45"/>
      <c r="S243" s="45"/>
      <c r="T243" s="69"/>
      <c r="U243" s="45"/>
      <c r="V243" s="45"/>
      <c r="W243" s="45"/>
      <c r="X243" s="45"/>
      <c r="Y243" s="69"/>
      <c r="Z243" s="45"/>
      <c r="AA243" s="45"/>
      <c r="AB243" s="70"/>
      <c r="AC243" s="70"/>
      <c r="AD243" s="70"/>
      <c r="AE243" s="70"/>
      <c r="AF243" s="45"/>
      <c r="AG243" s="71"/>
      <c r="AH243" s="71"/>
      <c r="AI243" s="45"/>
      <c r="AJ243" s="45"/>
      <c r="AK243" s="45"/>
      <c r="AL243" s="45"/>
      <c r="AM243" s="45"/>
      <c r="AN243" s="45"/>
    </row>
    <row r="244">
      <c r="A244" s="45"/>
      <c r="B244" s="45"/>
      <c r="C244" s="45"/>
      <c r="D244" s="45"/>
      <c r="E244" s="45"/>
      <c r="F244" s="45"/>
      <c r="G244" s="69"/>
      <c r="H244" s="45"/>
      <c r="I244" s="45"/>
      <c r="J244" s="69"/>
      <c r="K244" s="45"/>
      <c r="L244" s="45"/>
      <c r="M244" s="45"/>
      <c r="N244" s="69"/>
      <c r="O244" s="45"/>
      <c r="P244" s="45"/>
      <c r="Q244" s="69"/>
      <c r="R244" s="45"/>
      <c r="S244" s="45"/>
      <c r="T244" s="69"/>
      <c r="U244" s="45"/>
      <c r="V244" s="45"/>
      <c r="W244" s="45"/>
      <c r="X244" s="45"/>
      <c r="Y244" s="69"/>
      <c r="Z244" s="45"/>
      <c r="AA244" s="45"/>
      <c r="AB244" s="70"/>
      <c r="AC244" s="70"/>
      <c r="AD244" s="70"/>
      <c r="AE244" s="70"/>
      <c r="AF244" s="45"/>
      <c r="AG244" s="71"/>
      <c r="AH244" s="71"/>
      <c r="AI244" s="45"/>
      <c r="AJ244" s="45"/>
      <c r="AK244" s="45"/>
      <c r="AL244" s="45"/>
      <c r="AM244" s="45"/>
      <c r="AN244" s="45"/>
    </row>
    <row r="245">
      <c r="A245" s="45"/>
      <c r="B245" s="45"/>
      <c r="C245" s="45"/>
      <c r="D245" s="45"/>
      <c r="E245" s="45"/>
      <c r="F245" s="45"/>
      <c r="G245" s="69"/>
      <c r="H245" s="45"/>
      <c r="I245" s="45"/>
      <c r="J245" s="69"/>
      <c r="K245" s="45"/>
      <c r="L245" s="45"/>
      <c r="M245" s="45"/>
      <c r="N245" s="69"/>
      <c r="O245" s="45"/>
      <c r="P245" s="45"/>
      <c r="Q245" s="69"/>
      <c r="R245" s="45"/>
      <c r="S245" s="45"/>
      <c r="T245" s="69"/>
      <c r="U245" s="45"/>
      <c r="V245" s="45"/>
      <c r="W245" s="45"/>
      <c r="X245" s="45"/>
      <c r="Y245" s="69"/>
      <c r="Z245" s="45"/>
      <c r="AA245" s="45"/>
      <c r="AB245" s="70"/>
      <c r="AC245" s="70"/>
      <c r="AD245" s="70"/>
      <c r="AE245" s="70"/>
      <c r="AF245" s="45"/>
      <c r="AG245" s="71"/>
      <c r="AH245" s="71"/>
      <c r="AI245" s="45"/>
      <c r="AJ245" s="45"/>
      <c r="AK245" s="45"/>
      <c r="AL245" s="45"/>
      <c r="AM245" s="45"/>
      <c r="AN245" s="45"/>
    </row>
    <row r="246">
      <c r="A246" s="45"/>
      <c r="B246" s="45"/>
      <c r="C246" s="45"/>
      <c r="D246" s="45"/>
      <c r="E246" s="45"/>
      <c r="F246" s="45"/>
      <c r="G246" s="69"/>
      <c r="H246" s="45"/>
      <c r="I246" s="45"/>
      <c r="J246" s="69"/>
      <c r="K246" s="45"/>
      <c r="L246" s="45"/>
      <c r="M246" s="45"/>
      <c r="N246" s="69"/>
      <c r="O246" s="45"/>
      <c r="P246" s="45"/>
      <c r="Q246" s="69"/>
      <c r="R246" s="45"/>
      <c r="S246" s="45"/>
      <c r="T246" s="69"/>
      <c r="U246" s="45"/>
      <c r="V246" s="45"/>
      <c r="W246" s="45"/>
      <c r="X246" s="45"/>
      <c r="Y246" s="69"/>
      <c r="Z246" s="45"/>
      <c r="AA246" s="45"/>
      <c r="AB246" s="70"/>
      <c r="AC246" s="70"/>
      <c r="AD246" s="70"/>
      <c r="AE246" s="70"/>
      <c r="AF246" s="45"/>
      <c r="AG246" s="71"/>
      <c r="AH246" s="71"/>
      <c r="AI246" s="45"/>
      <c r="AJ246" s="45"/>
      <c r="AK246" s="45"/>
      <c r="AL246" s="45"/>
      <c r="AM246" s="45"/>
      <c r="AN246" s="45"/>
    </row>
    <row r="247">
      <c r="A247" s="45"/>
      <c r="B247" s="45"/>
      <c r="C247" s="45"/>
      <c r="D247" s="45"/>
      <c r="E247" s="45"/>
      <c r="F247" s="45"/>
      <c r="G247" s="69"/>
      <c r="H247" s="45"/>
      <c r="I247" s="45"/>
      <c r="J247" s="69"/>
      <c r="K247" s="45"/>
      <c r="L247" s="45"/>
      <c r="M247" s="45"/>
      <c r="N247" s="69"/>
      <c r="O247" s="45"/>
      <c r="P247" s="45"/>
      <c r="Q247" s="69"/>
      <c r="R247" s="45"/>
      <c r="S247" s="45"/>
      <c r="T247" s="69"/>
      <c r="U247" s="45"/>
      <c r="V247" s="45"/>
      <c r="W247" s="45"/>
      <c r="X247" s="45"/>
      <c r="Y247" s="69"/>
      <c r="Z247" s="45"/>
      <c r="AA247" s="45"/>
      <c r="AB247" s="70"/>
      <c r="AC247" s="70"/>
      <c r="AD247" s="70"/>
      <c r="AE247" s="70"/>
      <c r="AF247" s="45"/>
      <c r="AG247" s="71"/>
      <c r="AH247" s="71"/>
      <c r="AI247" s="45"/>
      <c r="AJ247" s="45"/>
      <c r="AK247" s="45"/>
      <c r="AL247" s="45"/>
      <c r="AM247" s="45"/>
      <c r="AN247" s="45"/>
    </row>
    <row r="248">
      <c r="A248" s="45"/>
      <c r="B248" s="45"/>
      <c r="C248" s="45"/>
      <c r="D248" s="45"/>
      <c r="E248" s="45"/>
      <c r="F248" s="45"/>
      <c r="G248" s="69"/>
      <c r="H248" s="45"/>
      <c r="I248" s="45"/>
      <c r="J248" s="69"/>
      <c r="K248" s="45"/>
      <c r="L248" s="45"/>
      <c r="M248" s="45"/>
      <c r="N248" s="69"/>
      <c r="O248" s="45"/>
      <c r="P248" s="45"/>
      <c r="Q248" s="69"/>
      <c r="R248" s="45"/>
      <c r="S248" s="45"/>
      <c r="T248" s="69"/>
      <c r="U248" s="45"/>
      <c r="V248" s="45"/>
      <c r="W248" s="45"/>
      <c r="X248" s="45"/>
      <c r="Y248" s="69"/>
      <c r="Z248" s="45"/>
      <c r="AA248" s="45"/>
      <c r="AB248" s="70"/>
      <c r="AC248" s="70"/>
      <c r="AD248" s="70"/>
      <c r="AE248" s="70"/>
      <c r="AF248" s="45"/>
      <c r="AG248" s="71"/>
      <c r="AH248" s="71"/>
      <c r="AI248" s="45"/>
      <c r="AJ248" s="45"/>
      <c r="AK248" s="45"/>
      <c r="AL248" s="45"/>
      <c r="AM248" s="45"/>
      <c r="AN248" s="45"/>
    </row>
    <row r="249">
      <c r="A249" s="45"/>
      <c r="B249" s="45"/>
      <c r="C249" s="45"/>
      <c r="D249" s="45"/>
      <c r="E249" s="45"/>
      <c r="F249" s="45"/>
      <c r="G249" s="69"/>
      <c r="H249" s="45"/>
      <c r="I249" s="45"/>
      <c r="J249" s="69"/>
      <c r="K249" s="45"/>
      <c r="L249" s="45"/>
      <c r="M249" s="45"/>
      <c r="N249" s="69"/>
      <c r="O249" s="45"/>
      <c r="P249" s="45"/>
      <c r="Q249" s="69"/>
      <c r="R249" s="45"/>
      <c r="S249" s="45"/>
      <c r="T249" s="69"/>
      <c r="U249" s="45"/>
      <c r="V249" s="45"/>
      <c r="W249" s="45"/>
      <c r="X249" s="45"/>
      <c r="Y249" s="69"/>
      <c r="Z249" s="45"/>
      <c r="AA249" s="45"/>
      <c r="AB249" s="70"/>
      <c r="AC249" s="70"/>
      <c r="AD249" s="70"/>
      <c r="AE249" s="70"/>
      <c r="AF249" s="45"/>
      <c r="AG249" s="71"/>
      <c r="AH249" s="71"/>
      <c r="AI249" s="45"/>
      <c r="AJ249" s="45"/>
      <c r="AK249" s="45"/>
      <c r="AL249" s="45"/>
      <c r="AM249" s="45"/>
      <c r="AN249" s="45"/>
    </row>
    <row r="250">
      <c r="A250" s="45"/>
      <c r="B250" s="45"/>
      <c r="C250" s="45"/>
      <c r="D250" s="45"/>
      <c r="E250" s="45"/>
      <c r="F250" s="45"/>
      <c r="G250" s="69"/>
      <c r="H250" s="45"/>
      <c r="I250" s="45"/>
      <c r="J250" s="69"/>
      <c r="K250" s="45"/>
      <c r="L250" s="45"/>
      <c r="M250" s="45"/>
      <c r="N250" s="69"/>
      <c r="O250" s="45"/>
      <c r="P250" s="45"/>
      <c r="Q250" s="69"/>
      <c r="R250" s="45"/>
      <c r="S250" s="45"/>
      <c r="T250" s="69"/>
      <c r="U250" s="45"/>
      <c r="V250" s="45"/>
      <c r="W250" s="45"/>
      <c r="X250" s="45"/>
      <c r="Y250" s="69"/>
      <c r="Z250" s="45"/>
      <c r="AA250" s="45"/>
      <c r="AB250" s="70"/>
      <c r="AC250" s="70"/>
      <c r="AD250" s="70"/>
      <c r="AE250" s="70"/>
      <c r="AF250" s="45"/>
      <c r="AG250" s="71"/>
      <c r="AH250" s="71"/>
      <c r="AI250" s="45"/>
      <c r="AJ250" s="45"/>
      <c r="AK250" s="45"/>
      <c r="AL250" s="45"/>
      <c r="AM250" s="45"/>
      <c r="AN250" s="45"/>
    </row>
    <row r="251">
      <c r="A251" s="45"/>
      <c r="B251" s="45"/>
      <c r="C251" s="45"/>
      <c r="D251" s="45"/>
      <c r="E251" s="45"/>
      <c r="F251" s="45"/>
      <c r="G251" s="69"/>
      <c r="H251" s="45"/>
      <c r="I251" s="45"/>
      <c r="J251" s="69"/>
      <c r="K251" s="45"/>
      <c r="L251" s="45"/>
      <c r="M251" s="45"/>
      <c r="N251" s="69"/>
      <c r="O251" s="45"/>
      <c r="P251" s="45"/>
      <c r="Q251" s="69"/>
      <c r="R251" s="45"/>
      <c r="S251" s="45"/>
      <c r="T251" s="69"/>
      <c r="U251" s="45"/>
      <c r="V251" s="45"/>
      <c r="W251" s="45"/>
      <c r="X251" s="45"/>
      <c r="Y251" s="69"/>
      <c r="Z251" s="45"/>
      <c r="AA251" s="45"/>
      <c r="AB251" s="70"/>
      <c r="AC251" s="70"/>
      <c r="AD251" s="70"/>
      <c r="AE251" s="70"/>
      <c r="AF251" s="45"/>
      <c r="AG251" s="71"/>
      <c r="AH251" s="71"/>
      <c r="AI251" s="45"/>
      <c r="AJ251" s="45"/>
      <c r="AK251" s="45"/>
      <c r="AL251" s="45"/>
      <c r="AM251" s="45"/>
      <c r="AN251" s="45"/>
    </row>
    <row r="252">
      <c r="A252" s="45"/>
      <c r="B252" s="45"/>
      <c r="C252" s="45"/>
      <c r="D252" s="45"/>
      <c r="E252" s="45"/>
      <c r="F252" s="45"/>
      <c r="G252" s="69"/>
      <c r="H252" s="45"/>
      <c r="I252" s="45"/>
      <c r="J252" s="69"/>
      <c r="K252" s="45"/>
      <c r="L252" s="45"/>
      <c r="M252" s="45"/>
      <c r="N252" s="69"/>
      <c r="O252" s="45"/>
      <c r="P252" s="45"/>
      <c r="Q252" s="69"/>
      <c r="R252" s="45"/>
      <c r="S252" s="45"/>
      <c r="T252" s="69"/>
      <c r="U252" s="45"/>
      <c r="V252" s="45"/>
      <c r="W252" s="45"/>
      <c r="X252" s="45"/>
      <c r="Y252" s="69"/>
      <c r="Z252" s="45"/>
      <c r="AA252" s="45"/>
      <c r="AB252" s="70"/>
      <c r="AC252" s="70"/>
      <c r="AD252" s="70"/>
      <c r="AE252" s="70"/>
      <c r="AF252" s="45"/>
      <c r="AG252" s="71"/>
      <c r="AH252" s="71"/>
      <c r="AI252" s="45"/>
      <c r="AJ252" s="45"/>
      <c r="AK252" s="45"/>
      <c r="AL252" s="45"/>
      <c r="AM252" s="45"/>
      <c r="AN252" s="45"/>
    </row>
    <row r="253">
      <c r="A253" s="45"/>
      <c r="B253" s="45"/>
      <c r="C253" s="45"/>
      <c r="D253" s="45"/>
      <c r="E253" s="45"/>
      <c r="F253" s="45"/>
      <c r="G253" s="69"/>
      <c r="H253" s="45"/>
      <c r="I253" s="45"/>
      <c r="J253" s="69"/>
      <c r="K253" s="45"/>
      <c r="L253" s="45"/>
      <c r="M253" s="45"/>
      <c r="N253" s="69"/>
      <c r="O253" s="45"/>
      <c r="P253" s="45"/>
      <c r="Q253" s="69"/>
      <c r="R253" s="45"/>
      <c r="S253" s="45"/>
      <c r="T253" s="69"/>
      <c r="U253" s="45"/>
      <c r="V253" s="45"/>
      <c r="W253" s="45"/>
      <c r="X253" s="45"/>
      <c r="Y253" s="69"/>
      <c r="Z253" s="45"/>
      <c r="AA253" s="45"/>
      <c r="AB253" s="70"/>
      <c r="AC253" s="70"/>
      <c r="AD253" s="70"/>
      <c r="AE253" s="70"/>
      <c r="AF253" s="45"/>
      <c r="AG253" s="71"/>
      <c r="AH253" s="71"/>
      <c r="AI253" s="45"/>
      <c r="AJ253" s="45"/>
      <c r="AK253" s="45"/>
      <c r="AL253" s="45"/>
      <c r="AM253" s="45"/>
      <c r="AN253" s="45"/>
    </row>
    <row r="254">
      <c r="A254" s="45"/>
      <c r="B254" s="45"/>
      <c r="C254" s="45"/>
      <c r="D254" s="45"/>
      <c r="E254" s="45"/>
      <c r="F254" s="45"/>
      <c r="G254" s="69"/>
      <c r="H254" s="45"/>
      <c r="I254" s="45"/>
      <c r="J254" s="69"/>
      <c r="K254" s="45"/>
      <c r="L254" s="45"/>
      <c r="M254" s="45"/>
      <c r="N254" s="69"/>
      <c r="O254" s="45"/>
      <c r="P254" s="45"/>
      <c r="Q254" s="69"/>
      <c r="R254" s="45"/>
      <c r="S254" s="45"/>
      <c r="T254" s="69"/>
      <c r="U254" s="45"/>
      <c r="V254" s="45"/>
      <c r="W254" s="45"/>
      <c r="X254" s="45"/>
      <c r="Y254" s="69"/>
      <c r="Z254" s="45"/>
      <c r="AA254" s="45"/>
      <c r="AB254" s="70"/>
      <c r="AC254" s="70"/>
      <c r="AD254" s="70"/>
      <c r="AE254" s="70"/>
      <c r="AF254" s="45"/>
      <c r="AG254" s="71"/>
      <c r="AH254" s="71"/>
      <c r="AI254" s="45"/>
      <c r="AJ254" s="45"/>
      <c r="AK254" s="45"/>
      <c r="AL254" s="45"/>
      <c r="AM254" s="45"/>
      <c r="AN254" s="45"/>
    </row>
    <row r="255">
      <c r="A255" s="45"/>
      <c r="B255" s="45"/>
      <c r="C255" s="45"/>
      <c r="D255" s="45"/>
      <c r="E255" s="45"/>
      <c r="F255" s="45"/>
      <c r="G255" s="69"/>
      <c r="H255" s="45"/>
      <c r="I255" s="45"/>
      <c r="J255" s="69"/>
      <c r="K255" s="45"/>
      <c r="L255" s="45"/>
      <c r="M255" s="45"/>
      <c r="N255" s="69"/>
      <c r="O255" s="45"/>
      <c r="P255" s="45"/>
      <c r="Q255" s="69"/>
      <c r="R255" s="45"/>
      <c r="S255" s="45"/>
      <c r="T255" s="69"/>
      <c r="U255" s="45"/>
      <c r="V255" s="45"/>
      <c r="W255" s="45"/>
      <c r="X255" s="45"/>
      <c r="Y255" s="69"/>
      <c r="Z255" s="45"/>
      <c r="AA255" s="45"/>
      <c r="AB255" s="70"/>
      <c r="AC255" s="70"/>
      <c r="AD255" s="70"/>
      <c r="AE255" s="70"/>
      <c r="AF255" s="45"/>
      <c r="AG255" s="71"/>
      <c r="AH255" s="71"/>
      <c r="AI255" s="45"/>
      <c r="AJ255" s="45"/>
      <c r="AK255" s="45"/>
      <c r="AL255" s="45"/>
      <c r="AM255" s="45"/>
      <c r="AN255" s="45"/>
    </row>
    <row r="256">
      <c r="A256" s="45"/>
      <c r="B256" s="45"/>
      <c r="C256" s="45"/>
      <c r="D256" s="45"/>
      <c r="E256" s="45"/>
      <c r="F256" s="45"/>
      <c r="G256" s="69"/>
      <c r="H256" s="45"/>
      <c r="I256" s="45"/>
      <c r="J256" s="69"/>
      <c r="K256" s="45"/>
      <c r="L256" s="45"/>
      <c r="M256" s="45"/>
      <c r="N256" s="69"/>
      <c r="O256" s="45"/>
      <c r="P256" s="45"/>
      <c r="Q256" s="69"/>
      <c r="R256" s="45"/>
      <c r="S256" s="45"/>
      <c r="T256" s="69"/>
      <c r="U256" s="45"/>
      <c r="V256" s="45"/>
      <c r="W256" s="45"/>
      <c r="X256" s="45"/>
      <c r="Y256" s="69"/>
      <c r="Z256" s="45"/>
      <c r="AA256" s="45"/>
      <c r="AB256" s="70"/>
      <c r="AC256" s="70"/>
      <c r="AD256" s="70"/>
      <c r="AE256" s="70"/>
      <c r="AF256" s="45"/>
      <c r="AG256" s="71"/>
      <c r="AH256" s="71"/>
      <c r="AI256" s="45"/>
      <c r="AJ256" s="45"/>
      <c r="AK256" s="45"/>
      <c r="AL256" s="45"/>
      <c r="AM256" s="45"/>
      <c r="AN256" s="45"/>
    </row>
    <row r="257">
      <c r="A257" s="45"/>
      <c r="B257" s="45"/>
      <c r="C257" s="45"/>
      <c r="D257" s="45"/>
      <c r="E257" s="45"/>
      <c r="F257" s="45"/>
      <c r="G257" s="69"/>
      <c r="H257" s="45"/>
      <c r="I257" s="45"/>
      <c r="J257" s="69"/>
      <c r="K257" s="45"/>
      <c r="L257" s="45"/>
      <c r="M257" s="45"/>
      <c r="N257" s="69"/>
      <c r="O257" s="45"/>
      <c r="P257" s="45"/>
      <c r="Q257" s="69"/>
      <c r="R257" s="45"/>
      <c r="S257" s="45"/>
      <c r="T257" s="69"/>
      <c r="U257" s="45"/>
      <c r="V257" s="45"/>
      <c r="W257" s="45"/>
      <c r="X257" s="45"/>
      <c r="Y257" s="69"/>
      <c r="Z257" s="45"/>
      <c r="AA257" s="45"/>
      <c r="AB257" s="70"/>
      <c r="AC257" s="70"/>
      <c r="AD257" s="70"/>
      <c r="AE257" s="70"/>
      <c r="AF257" s="45"/>
      <c r="AG257" s="71"/>
      <c r="AH257" s="71"/>
      <c r="AI257" s="45"/>
      <c r="AJ257" s="45"/>
      <c r="AK257" s="45"/>
      <c r="AL257" s="45"/>
      <c r="AM257" s="45"/>
      <c r="AN257" s="45"/>
    </row>
    <row r="258">
      <c r="A258" s="45"/>
      <c r="B258" s="45"/>
      <c r="C258" s="45"/>
      <c r="D258" s="45"/>
      <c r="E258" s="45"/>
      <c r="F258" s="45"/>
      <c r="G258" s="69"/>
      <c r="H258" s="45"/>
      <c r="I258" s="45"/>
      <c r="J258" s="69"/>
      <c r="K258" s="45"/>
      <c r="L258" s="45"/>
      <c r="M258" s="45"/>
      <c r="N258" s="69"/>
      <c r="O258" s="45"/>
      <c r="P258" s="45"/>
      <c r="Q258" s="69"/>
      <c r="R258" s="45"/>
      <c r="S258" s="45"/>
      <c r="T258" s="69"/>
      <c r="U258" s="45"/>
      <c r="V258" s="45"/>
      <c r="W258" s="45"/>
      <c r="X258" s="45"/>
      <c r="Y258" s="69"/>
      <c r="Z258" s="45"/>
      <c r="AA258" s="45"/>
      <c r="AB258" s="70"/>
      <c r="AC258" s="70"/>
      <c r="AD258" s="70"/>
      <c r="AE258" s="70"/>
      <c r="AF258" s="45"/>
      <c r="AG258" s="71"/>
      <c r="AH258" s="71"/>
      <c r="AI258" s="45"/>
      <c r="AJ258" s="45"/>
      <c r="AK258" s="45"/>
      <c r="AL258" s="45"/>
      <c r="AM258" s="45"/>
      <c r="AN258" s="45"/>
    </row>
    <row r="259">
      <c r="A259" s="45"/>
      <c r="B259" s="45"/>
      <c r="C259" s="45"/>
      <c r="D259" s="45"/>
      <c r="E259" s="45"/>
      <c r="F259" s="45"/>
      <c r="G259" s="69"/>
      <c r="H259" s="45"/>
      <c r="I259" s="45"/>
      <c r="J259" s="69"/>
      <c r="K259" s="45"/>
      <c r="L259" s="45"/>
      <c r="M259" s="45"/>
      <c r="N259" s="69"/>
      <c r="O259" s="45"/>
      <c r="P259" s="45"/>
      <c r="Q259" s="69"/>
      <c r="R259" s="45"/>
      <c r="S259" s="45"/>
      <c r="T259" s="69"/>
      <c r="U259" s="45"/>
      <c r="V259" s="45"/>
      <c r="W259" s="45"/>
      <c r="X259" s="45"/>
      <c r="Y259" s="69"/>
      <c r="Z259" s="45"/>
      <c r="AA259" s="45"/>
      <c r="AB259" s="70"/>
      <c r="AC259" s="70"/>
      <c r="AD259" s="70"/>
      <c r="AE259" s="70"/>
      <c r="AF259" s="45"/>
      <c r="AG259" s="71"/>
      <c r="AH259" s="71"/>
      <c r="AI259" s="45"/>
      <c r="AJ259" s="45"/>
      <c r="AK259" s="45"/>
      <c r="AL259" s="45"/>
      <c r="AM259" s="45"/>
      <c r="AN259" s="45"/>
    </row>
    <row r="260">
      <c r="A260" s="45"/>
      <c r="B260" s="45"/>
      <c r="C260" s="45"/>
      <c r="D260" s="45"/>
      <c r="E260" s="45"/>
      <c r="F260" s="45"/>
      <c r="G260" s="69"/>
      <c r="H260" s="45"/>
      <c r="I260" s="45"/>
      <c r="J260" s="69"/>
      <c r="K260" s="45"/>
      <c r="L260" s="45"/>
      <c r="M260" s="45"/>
      <c r="N260" s="69"/>
      <c r="O260" s="45"/>
      <c r="P260" s="45"/>
      <c r="Q260" s="69"/>
      <c r="R260" s="45"/>
      <c r="S260" s="45"/>
      <c r="T260" s="69"/>
      <c r="U260" s="45"/>
      <c r="V260" s="45"/>
      <c r="W260" s="45"/>
      <c r="X260" s="45"/>
      <c r="Y260" s="69"/>
      <c r="Z260" s="45"/>
      <c r="AA260" s="45"/>
      <c r="AB260" s="70"/>
      <c r="AC260" s="70"/>
      <c r="AD260" s="70"/>
      <c r="AE260" s="70"/>
      <c r="AF260" s="45"/>
      <c r="AG260" s="71"/>
      <c r="AH260" s="71"/>
      <c r="AI260" s="45"/>
      <c r="AJ260" s="45"/>
      <c r="AK260" s="45"/>
      <c r="AL260" s="45"/>
      <c r="AM260" s="45"/>
      <c r="AN260" s="45"/>
    </row>
    <row r="261">
      <c r="A261" s="45"/>
      <c r="B261" s="45"/>
      <c r="C261" s="45"/>
      <c r="D261" s="45"/>
      <c r="E261" s="45"/>
      <c r="F261" s="45"/>
      <c r="G261" s="69"/>
      <c r="H261" s="45"/>
      <c r="I261" s="45"/>
      <c r="J261" s="69"/>
      <c r="K261" s="45"/>
      <c r="L261" s="45"/>
      <c r="M261" s="45"/>
      <c r="N261" s="69"/>
      <c r="O261" s="45"/>
      <c r="P261" s="45"/>
      <c r="Q261" s="69"/>
      <c r="R261" s="45"/>
      <c r="S261" s="45"/>
      <c r="T261" s="69"/>
      <c r="U261" s="45"/>
      <c r="V261" s="45"/>
      <c r="W261" s="45"/>
      <c r="X261" s="45"/>
      <c r="Y261" s="69"/>
      <c r="Z261" s="45"/>
      <c r="AA261" s="45"/>
      <c r="AB261" s="70"/>
      <c r="AC261" s="70"/>
      <c r="AD261" s="70"/>
      <c r="AE261" s="70"/>
      <c r="AF261" s="45"/>
      <c r="AG261" s="71"/>
      <c r="AH261" s="71"/>
      <c r="AI261" s="45"/>
      <c r="AJ261" s="45"/>
      <c r="AK261" s="45"/>
      <c r="AL261" s="45"/>
      <c r="AM261" s="45"/>
      <c r="AN261" s="45"/>
    </row>
    <row r="262">
      <c r="A262" s="45"/>
      <c r="B262" s="45"/>
      <c r="C262" s="45"/>
      <c r="D262" s="45"/>
      <c r="E262" s="45"/>
      <c r="F262" s="45"/>
      <c r="G262" s="69"/>
      <c r="H262" s="45"/>
      <c r="I262" s="45"/>
      <c r="J262" s="69"/>
      <c r="K262" s="45"/>
      <c r="L262" s="45"/>
      <c r="M262" s="45"/>
      <c r="N262" s="69"/>
      <c r="O262" s="45"/>
      <c r="P262" s="45"/>
      <c r="Q262" s="69"/>
      <c r="R262" s="45"/>
      <c r="S262" s="45"/>
      <c r="T262" s="69"/>
      <c r="U262" s="45"/>
      <c r="V262" s="45"/>
      <c r="W262" s="45"/>
      <c r="X262" s="45"/>
      <c r="Y262" s="69"/>
      <c r="Z262" s="45"/>
      <c r="AA262" s="45"/>
      <c r="AB262" s="70"/>
      <c r="AC262" s="70"/>
      <c r="AD262" s="70"/>
      <c r="AE262" s="70"/>
      <c r="AF262" s="45"/>
      <c r="AG262" s="71"/>
      <c r="AH262" s="71"/>
      <c r="AI262" s="45"/>
      <c r="AJ262" s="45"/>
      <c r="AK262" s="45"/>
      <c r="AL262" s="45"/>
      <c r="AM262" s="45"/>
      <c r="AN262" s="45"/>
    </row>
    <row r="263">
      <c r="A263" s="45"/>
      <c r="B263" s="45"/>
      <c r="C263" s="45"/>
      <c r="D263" s="45"/>
      <c r="E263" s="45"/>
      <c r="F263" s="45"/>
      <c r="G263" s="69"/>
      <c r="H263" s="45"/>
      <c r="I263" s="45"/>
      <c r="J263" s="69"/>
      <c r="K263" s="45"/>
      <c r="L263" s="45"/>
      <c r="M263" s="45"/>
      <c r="N263" s="69"/>
      <c r="O263" s="45"/>
      <c r="P263" s="45"/>
      <c r="Q263" s="69"/>
      <c r="R263" s="45"/>
      <c r="S263" s="45"/>
      <c r="T263" s="69"/>
      <c r="U263" s="45"/>
      <c r="V263" s="45"/>
      <c r="W263" s="45"/>
      <c r="X263" s="45"/>
      <c r="Y263" s="69"/>
      <c r="Z263" s="45"/>
      <c r="AA263" s="45"/>
      <c r="AB263" s="70"/>
      <c r="AC263" s="70"/>
      <c r="AD263" s="70"/>
      <c r="AE263" s="70"/>
      <c r="AF263" s="45"/>
      <c r="AG263" s="71"/>
      <c r="AH263" s="71"/>
      <c r="AI263" s="45"/>
      <c r="AJ263" s="45"/>
      <c r="AK263" s="45"/>
      <c r="AL263" s="45"/>
      <c r="AM263" s="45"/>
      <c r="AN263" s="45"/>
    </row>
    <row r="264">
      <c r="A264" s="45"/>
      <c r="B264" s="45"/>
      <c r="C264" s="45"/>
      <c r="D264" s="45"/>
      <c r="E264" s="45"/>
      <c r="F264" s="45"/>
      <c r="G264" s="69"/>
      <c r="H264" s="45"/>
      <c r="I264" s="45"/>
      <c r="J264" s="69"/>
      <c r="K264" s="45"/>
      <c r="L264" s="45"/>
      <c r="M264" s="45"/>
      <c r="N264" s="69"/>
      <c r="O264" s="45"/>
      <c r="P264" s="45"/>
      <c r="Q264" s="69"/>
      <c r="R264" s="45"/>
      <c r="S264" s="45"/>
      <c r="T264" s="69"/>
      <c r="U264" s="45"/>
      <c r="V264" s="45"/>
      <c r="W264" s="45"/>
      <c r="X264" s="45"/>
      <c r="Y264" s="69"/>
      <c r="Z264" s="45"/>
      <c r="AA264" s="45"/>
      <c r="AB264" s="70"/>
      <c r="AC264" s="70"/>
      <c r="AD264" s="70"/>
      <c r="AE264" s="70"/>
      <c r="AF264" s="45"/>
      <c r="AG264" s="71"/>
      <c r="AH264" s="71"/>
      <c r="AI264" s="45"/>
      <c r="AJ264" s="45"/>
      <c r="AK264" s="45"/>
      <c r="AL264" s="45"/>
      <c r="AM264" s="45"/>
      <c r="AN264" s="45"/>
    </row>
    <row r="265">
      <c r="A265" s="45"/>
      <c r="B265" s="45"/>
      <c r="C265" s="45"/>
      <c r="D265" s="45"/>
      <c r="E265" s="45"/>
      <c r="F265" s="45"/>
      <c r="G265" s="69"/>
      <c r="H265" s="45"/>
      <c r="I265" s="45"/>
      <c r="J265" s="69"/>
      <c r="K265" s="45"/>
      <c r="L265" s="45"/>
      <c r="M265" s="45"/>
      <c r="N265" s="69"/>
      <c r="O265" s="45"/>
      <c r="P265" s="45"/>
      <c r="Q265" s="69"/>
      <c r="R265" s="45"/>
      <c r="S265" s="45"/>
      <c r="T265" s="69"/>
      <c r="U265" s="45"/>
      <c r="V265" s="45"/>
      <c r="W265" s="45"/>
      <c r="X265" s="45"/>
      <c r="Y265" s="69"/>
      <c r="Z265" s="45"/>
      <c r="AA265" s="45"/>
      <c r="AB265" s="70"/>
      <c r="AC265" s="70"/>
      <c r="AD265" s="70"/>
      <c r="AE265" s="70"/>
      <c r="AF265" s="45"/>
      <c r="AG265" s="71"/>
      <c r="AH265" s="71"/>
      <c r="AI265" s="45"/>
      <c r="AJ265" s="45"/>
      <c r="AK265" s="45"/>
      <c r="AL265" s="45"/>
      <c r="AM265" s="45"/>
      <c r="AN265" s="45"/>
    </row>
    <row r="266">
      <c r="A266" s="45"/>
      <c r="B266" s="45"/>
      <c r="C266" s="45"/>
      <c r="D266" s="45"/>
      <c r="E266" s="45"/>
      <c r="F266" s="45"/>
      <c r="G266" s="69"/>
      <c r="H266" s="45"/>
      <c r="I266" s="45"/>
      <c r="J266" s="69"/>
      <c r="K266" s="45"/>
      <c r="L266" s="45"/>
      <c r="M266" s="45"/>
      <c r="N266" s="69"/>
      <c r="O266" s="45"/>
      <c r="P266" s="45"/>
      <c r="Q266" s="69"/>
      <c r="R266" s="45"/>
      <c r="S266" s="45"/>
      <c r="T266" s="69"/>
      <c r="U266" s="45"/>
      <c r="V266" s="45"/>
      <c r="W266" s="45"/>
      <c r="X266" s="45"/>
      <c r="Y266" s="69"/>
      <c r="Z266" s="45"/>
      <c r="AA266" s="45"/>
      <c r="AB266" s="70"/>
      <c r="AC266" s="70"/>
      <c r="AD266" s="70"/>
      <c r="AE266" s="70"/>
      <c r="AF266" s="45"/>
      <c r="AG266" s="71"/>
      <c r="AH266" s="71"/>
      <c r="AI266" s="45"/>
      <c r="AJ266" s="45"/>
      <c r="AK266" s="45"/>
      <c r="AL266" s="45"/>
      <c r="AM266" s="45"/>
      <c r="AN266" s="45"/>
    </row>
    <row r="267">
      <c r="A267" s="45"/>
      <c r="B267" s="45"/>
      <c r="C267" s="45"/>
      <c r="D267" s="45"/>
      <c r="E267" s="45"/>
      <c r="F267" s="45"/>
      <c r="G267" s="69"/>
      <c r="H267" s="45"/>
      <c r="I267" s="45"/>
      <c r="J267" s="69"/>
      <c r="K267" s="45"/>
      <c r="L267" s="45"/>
      <c r="M267" s="45"/>
      <c r="N267" s="69"/>
      <c r="O267" s="45"/>
      <c r="P267" s="45"/>
      <c r="Q267" s="69"/>
      <c r="R267" s="45"/>
      <c r="S267" s="45"/>
      <c r="T267" s="69"/>
      <c r="U267" s="45"/>
      <c r="V267" s="45"/>
      <c r="W267" s="45"/>
      <c r="X267" s="45"/>
      <c r="Y267" s="69"/>
      <c r="Z267" s="45"/>
      <c r="AA267" s="45"/>
      <c r="AB267" s="70"/>
      <c r="AC267" s="70"/>
      <c r="AD267" s="70"/>
      <c r="AE267" s="70"/>
      <c r="AF267" s="45"/>
      <c r="AG267" s="71"/>
      <c r="AH267" s="71"/>
      <c r="AI267" s="45"/>
      <c r="AJ267" s="45"/>
      <c r="AK267" s="45"/>
      <c r="AL267" s="45"/>
      <c r="AM267" s="45"/>
      <c r="AN267" s="45"/>
    </row>
    <row r="268">
      <c r="A268" s="45"/>
      <c r="B268" s="45"/>
      <c r="C268" s="45"/>
      <c r="D268" s="45"/>
      <c r="E268" s="45"/>
      <c r="F268" s="45"/>
      <c r="G268" s="69"/>
      <c r="H268" s="45"/>
      <c r="I268" s="45"/>
      <c r="J268" s="69"/>
      <c r="K268" s="45"/>
      <c r="L268" s="45"/>
      <c r="M268" s="45"/>
      <c r="N268" s="69"/>
      <c r="O268" s="45"/>
      <c r="P268" s="45"/>
      <c r="Q268" s="69"/>
      <c r="R268" s="45"/>
      <c r="S268" s="45"/>
      <c r="T268" s="69"/>
      <c r="U268" s="45"/>
      <c r="V268" s="45"/>
      <c r="W268" s="45"/>
      <c r="X268" s="45"/>
      <c r="Y268" s="69"/>
      <c r="Z268" s="45"/>
      <c r="AA268" s="45"/>
      <c r="AB268" s="70"/>
      <c r="AC268" s="70"/>
      <c r="AD268" s="70"/>
      <c r="AE268" s="70"/>
      <c r="AF268" s="45"/>
      <c r="AG268" s="71"/>
      <c r="AH268" s="71"/>
      <c r="AI268" s="45"/>
      <c r="AJ268" s="45"/>
      <c r="AK268" s="45"/>
      <c r="AL268" s="45"/>
      <c r="AM268" s="45"/>
      <c r="AN268" s="45"/>
    </row>
    <row r="269">
      <c r="A269" s="45"/>
      <c r="B269" s="45"/>
      <c r="C269" s="45"/>
      <c r="D269" s="45"/>
      <c r="E269" s="45"/>
      <c r="F269" s="45"/>
      <c r="G269" s="69"/>
      <c r="H269" s="45"/>
      <c r="I269" s="45"/>
      <c r="J269" s="69"/>
      <c r="K269" s="45"/>
      <c r="L269" s="45"/>
      <c r="M269" s="45"/>
      <c r="N269" s="69"/>
      <c r="O269" s="45"/>
      <c r="P269" s="45"/>
      <c r="Q269" s="69"/>
      <c r="R269" s="45"/>
      <c r="S269" s="45"/>
      <c r="T269" s="69"/>
      <c r="U269" s="45"/>
      <c r="V269" s="45"/>
      <c r="W269" s="45"/>
      <c r="X269" s="45"/>
      <c r="Y269" s="69"/>
      <c r="Z269" s="45"/>
      <c r="AA269" s="45"/>
      <c r="AB269" s="70"/>
      <c r="AC269" s="70"/>
      <c r="AD269" s="70"/>
      <c r="AE269" s="70"/>
      <c r="AF269" s="45"/>
      <c r="AG269" s="71"/>
      <c r="AH269" s="71"/>
      <c r="AI269" s="45"/>
      <c r="AJ269" s="45"/>
      <c r="AK269" s="45"/>
      <c r="AL269" s="45"/>
      <c r="AM269" s="45"/>
      <c r="AN269" s="45"/>
    </row>
    <row r="270">
      <c r="A270" s="45"/>
      <c r="B270" s="45"/>
      <c r="C270" s="45"/>
      <c r="D270" s="45"/>
      <c r="E270" s="45"/>
      <c r="F270" s="45"/>
      <c r="G270" s="69"/>
      <c r="H270" s="45"/>
      <c r="I270" s="45"/>
      <c r="J270" s="69"/>
      <c r="K270" s="45"/>
      <c r="L270" s="45"/>
      <c r="M270" s="45"/>
      <c r="N270" s="69"/>
      <c r="O270" s="45"/>
      <c r="P270" s="45"/>
      <c r="Q270" s="69"/>
      <c r="R270" s="45"/>
      <c r="S270" s="45"/>
      <c r="T270" s="69"/>
      <c r="U270" s="45"/>
      <c r="V270" s="45"/>
      <c r="W270" s="45"/>
      <c r="X270" s="45"/>
      <c r="Y270" s="69"/>
      <c r="Z270" s="45"/>
      <c r="AA270" s="45"/>
      <c r="AB270" s="70"/>
      <c r="AC270" s="70"/>
      <c r="AD270" s="70"/>
      <c r="AE270" s="70"/>
      <c r="AF270" s="45"/>
      <c r="AG270" s="71"/>
      <c r="AH270" s="71"/>
      <c r="AI270" s="45"/>
      <c r="AJ270" s="45"/>
      <c r="AK270" s="45"/>
      <c r="AL270" s="45"/>
      <c r="AM270" s="45"/>
      <c r="AN270" s="45"/>
    </row>
    <row r="271">
      <c r="A271" s="45"/>
      <c r="B271" s="45"/>
      <c r="C271" s="45"/>
      <c r="D271" s="45"/>
      <c r="E271" s="45"/>
      <c r="F271" s="45"/>
      <c r="G271" s="69"/>
      <c r="H271" s="45"/>
      <c r="I271" s="45"/>
      <c r="J271" s="69"/>
      <c r="K271" s="45"/>
      <c r="L271" s="45"/>
      <c r="M271" s="45"/>
      <c r="N271" s="69"/>
      <c r="O271" s="45"/>
      <c r="P271" s="45"/>
      <c r="Q271" s="69"/>
      <c r="R271" s="45"/>
      <c r="S271" s="45"/>
      <c r="T271" s="69"/>
      <c r="U271" s="45"/>
      <c r="V271" s="45"/>
      <c r="W271" s="45"/>
      <c r="X271" s="45"/>
      <c r="Y271" s="69"/>
      <c r="Z271" s="45"/>
      <c r="AA271" s="45"/>
      <c r="AB271" s="70"/>
      <c r="AC271" s="70"/>
      <c r="AD271" s="70"/>
      <c r="AE271" s="70"/>
      <c r="AF271" s="45"/>
      <c r="AG271" s="71"/>
      <c r="AH271" s="71"/>
      <c r="AI271" s="45"/>
      <c r="AJ271" s="45"/>
      <c r="AK271" s="45"/>
      <c r="AL271" s="45"/>
      <c r="AM271" s="45"/>
      <c r="AN271" s="45"/>
    </row>
    <row r="272">
      <c r="A272" s="45"/>
      <c r="B272" s="45"/>
      <c r="C272" s="45"/>
      <c r="D272" s="45"/>
      <c r="E272" s="45"/>
      <c r="F272" s="45"/>
      <c r="G272" s="69"/>
      <c r="H272" s="45"/>
      <c r="I272" s="45"/>
      <c r="J272" s="69"/>
      <c r="K272" s="45"/>
      <c r="L272" s="45"/>
      <c r="M272" s="45"/>
      <c r="N272" s="69"/>
      <c r="O272" s="45"/>
      <c r="P272" s="45"/>
      <c r="Q272" s="69"/>
      <c r="R272" s="45"/>
      <c r="S272" s="45"/>
      <c r="T272" s="69"/>
      <c r="U272" s="45"/>
      <c r="V272" s="45"/>
      <c r="W272" s="45"/>
      <c r="X272" s="45"/>
      <c r="Y272" s="69"/>
      <c r="Z272" s="45"/>
      <c r="AA272" s="45"/>
      <c r="AB272" s="70"/>
      <c r="AC272" s="70"/>
      <c r="AD272" s="70"/>
      <c r="AE272" s="70"/>
      <c r="AF272" s="45"/>
      <c r="AG272" s="71"/>
      <c r="AH272" s="71"/>
      <c r="AI272" s="45"/>
      <c r="AJ272" s="45"/>
      <c r="AK272" s="45"/>
      <c r="AL272" s="45"/>
      <c r="AM272" s="45"/>
      <c r="AN272" s="45"/>
    </row>
    <row r="273">
      <c r="A273" s="45"/>
      <c r="B273" s="45"/>
      <c r="C273" s="45"/>
      <c r="D273" s="45"/>
      <c r="E273" s="45"/>
      <c r="F273" s="45"/>
      <c r="G273" s="69"/>
      <c r="H273" s="45"/>
      <c r="I273" s="45"/>
      <c r="J273" s="69"/>
      <c r="K273" s="45"/>
      <c r="L273" s="45"/>
      <c r="M273" s="45"/>
      <c r="N273" s="69"/>
      <c r="O273" s="45"/>
      <c r="P273" s="45"/>
      <c r="Q273" s="69"/>
      <c r="R273" s="45"/>
      <c r="S273" s="45"/>
      <c r="T273" s="69"/>
      <c r="U273" s="45"/>
      <c r="V273" s="45"/>
      <c r="W273" s="45"/>
      <c r="X273" s="45"/>
      <c r="Y273" s="69"/>
      <c r="Z273" s="45"/>
      <c r="AA273" s="45"/>
      <c r="AB273" s="70"/>
      <c r="AC273" s="70"/>
      <c r="AD273" s="70"/>
      <c r="AE273" s="70"/>
      <c r="AF273" s="45"/>
      <c r="AG273" s="71"/>
      <c r="AH273" s="71"/>
      <c r="AI273" s="45"/>
      <c r="AJ273" s="45"/>
      <c r="AK273" s="45"/>
      <c r="AL273" s="45"/>
      <c r="AM273" s="45"/>
      <c r="AN273" s="45"/>
    </row>
    <row r="274">
      <c r="A274" s="45"/>
      <c r="B274" s="45"/>
      <c r="C274" s="45"/>
      <c r="D274" s="45"/>
      <c r="E274" s="45"/>
      <c r="F274" s="45"/>
      <c r="G274" s="69"/>
      <c r="H274" s="45"/>
      <c r="I274" s="45"/>
      <c r="J274" s="69"/>
      <c r="K274" s="45"/>
      <c r="L274" s="45"/>
      <c r="M274" s="45"/>
      <c r="N274" s="69"/>
      <c r="O274" s="45"/>
      <c r="P274" s="45"/>
      <c r="Q274" s="69"/>
      <c r="R274" s="45"/>
      <c r="S274" s="45"/>
      <c r="T274" s="69"/>
      <c r="U274" s="45"/>
      <c r="V274" s="45"/>
      <c r="W274" s="45"/>
      <c r="X274" s="45"/>
      <c r="Y274" s="69"/>
      <c r="Z274" s="45"/>
      <c r="AA274" s="45"/>
      <c r="AB274" s="70"/>
      <c r="AC274" s="70"/>
      <c r="AD274" s="70"/>
      <c r="AE274" s="70"/>
      <c r="AF274" s="45"/>
      <c r="AG274" s="71"/>
      <c r="AH274" s="71"/>
      <c r="AI274" s="45"/>
      <c r="AJ274" s="45"/>
      <c r="AK274" s="45"/>
      <c r="AL274" s="45"/>
      <c r="AM274" s="45"/>
      <c r="AN274" s="45"/>
    </row>
    <row r="275">
      <c r="A275" s="45"/>
      <c r="B275" s="45"/>
      <c r="C275" s="45"/>
      <c r="D275" s="45"/>
      <c r="E275" s="45"/>
      <c r="F275" s="45"/>
      <c r="G275" s="69"/>
      <c r="H275" s="45"/>
      <c r="I275" s="45"/>
      <c r="J275" s="69"/>
      <c r="K275" s="45"/>
      <c r="L275" s="45"/>
      <c r="M275" s="45"/>
      <c r="N275" s="69"/>
      <c r="O275" s="45"/>
      <c r="P275" s="45"/>
      <c r="Q275" s="69"/>
      <c r="R275" s="45"/>
      <c r="S275" s="45"/>
      <c r="T275" s="69"/>
      <c r="U275" s="45"/>
      <c r="V275" s="45"/>
      <c r="W275" s="45"/>
      <c r="X275" s="45"/>
      <c r="Y275" s="69"/>
      <c r="Z275" s="45"/>
      <c r="AA275" s="45"/>
      <c r="AB275" s="70"/>
      <c r="AC275" s="70"/>
      <c r="AD275" s="70"/>
      <c r="AE275" s="70"/>
      <c r="AF275" s="45"/>
      <c r="AG275" s="71"/>
      <c r="AH275" s="71"/>
      <c r="AI275" s="45"/>
      <c r="AJ275" s="45"/>
      <c r="AK275" s="45"/>
      <c r="AL275" s="45"/>
      <c r="AM275" s="45"/>
      <c r="AN275" s="45"/>
    </row>
    <row r="276">
      <c r="A276" s="45"/>
      <c r="B276" s="45"/>
      <c r="C276" s="45"/>
      <c r="D276" s="45"/>
      <c r="E276" s="45"/>
      <c r="F276" s="45"/>
      <c r="G276" s="69"/>
      <c r="H276" s="45"/>
      <c r="I276" s="45"/>
      <c r="J276" s="69"/>
      <c r="K276" s="45"/>
      <c r="L276" s="45"/>
      <c r="M276" s="45"/>
      <c r="N276" s="69"/>
      <c r="O276" s="45"/>
      <c r="P276" s="45"/>
      <c r="Q276" s="69"/>
      <c r="R276" s="45"/>
      <c r="S276" s="45"/>
      <c r="T276" s="69"/>
      <c r="U276" s="45"/>
      <c r="V276" s="45"/>
      <c r="W276" s="45"/>
      <c r="X276" s="45"/>
      <c r="Y276" s="69"/>
      <c r="Z276" s="45"/>
      <c r="AA276" s="45"/>
      <c r="AB276" s="70"/>
      <c r="AC276" s="70"/>
      <c r="AD276" s="70"/>
      <c r="AE276" s="70"/>
      <c r="AF276" s="45"/>
      <c r="AG276" s="71"/>
      <c r="AH276" s="71"/>
      <c r="AI276" s="45"/>
      <c r="AJ276" s="45"/>
      <c r="AK276" s="45"/>
      <c r="AL276" s="45"/>
      <c r="AM276" s="45"/>
      <c r="AN276" s="45"/>
    </row>
    <row r="277">
      <c r="A277" s="45"/>
      <c r="B277" s="45"/>
      <c r="C277" s="45"/>
      <c r="D277" s="45"/>
      <c r="E277" s="45"/>
      <c r="F277" s="45"/>
      <c r="G277" s="69"/>
      <c r="H277" s="45"/>
      <c r="I277" s="45"/>
      <c r="J277" s="69"/>
      <c r="K277" s="45"/>
      <c r="L277" s="45"/>
      <c r="M277" s="45"/>
      <c r="N277" s="69"/>
      <c r="O277" s="45"/>
      <c r="P277" s="45"/>
      <c r="Q277" s="69"/>
      <c r="R277" s="45"/>
      <c r="S277" s="45"/>
      <c r="T277" s="69"/>
      <c r="U277" s="45"/>
      <c r="V277" s="45"/>
      <c r="W277" s="45"/>
      <c r="X277" s="45"/>
      <c r="Y277" s="69"/>
      <c r="Z277" s="45"/>
      <c r="AA277" s="45"/>
      <c r="AB277" s="70"/>
      <c r="AC277" s="70"/>
      <c r="AD277" s="70"/>
      <c r="AE277" s="70"/>
      <c r="AF277" s="45"/>
      <c r="AG277" s="71"/>
      <c r="AH277" s="71"/>
      <c r="AI277" s="45"/>
      <c r="AJ277" s="45"/>
      <c r="AK277" s="45"/>
      <c r="AL277" s="45"/>
      <c r="AM277" s="45"/>
      <c r="AN277" s="45"/>
    </row>
    <row r="278">
      <c r="A278" s="45"/>
      <c r="B278" s="45"/>
      <c r="C278" s="45"/>
      <c r="D278" s="45"/>
      <c r="E278" s="45"/>
      <c r="F278" s="45"/>
      <c r="G278" s="69"/>
      <c r="H278" s="45"/>
      <c r="I278" s="45"/>
      <c r="J278" s="69"/>
      <c r="K278" s="45"/>
      <c r="L278" s="45"/>
      <c r="M278" s="45"/>
      <c r="N278" s="69"/>
      <c r="O278" s="45"/>
      <c r="P278" s="45"/>
      <c r="Q278" s="69"/>
      <c r="R278" s="45"/>
      <c r="S278" s="45"/>
      <c r="T278" s="69"/>
      <c r="U278" s="45"/>
      <c r="V278" s="45"/>
      <c r="W278" s="45"/>
      <c r="X278" s="45"/>
      <c r="Y278" s="69"/>
      <c r="Z278" s="45"/>
      <c r="AA278" s="45"/>
      <c r="AB278" s="70"/>
      <c r="AC278" s="70"/>
      <c r="AD278" s="70"/>
      <c r="AE278" s="70"/>
      <c r="AF278" s="45"/>
      <c r="AG278" s="71"/>
      <c r="AH278" s="71"/>
      <c r="AI278" s="45"/>
      <c r="AJ278" s="45"/>
      <c r="AK278" s="45"/>
      <c r="AL278" s="45"/>
      <c r="AM278" s="45"/>
      <c r="AN278" s="45"/>
    </row>
    <row r="279">
      <c r="A279" s="45"/>
      <c r="B279" s="45"/>
      <c r="C279" s="45"/>
      <c r="D279" s="45"/>
      <c r="E279" s="45"/>
      <c r="F279" s="45"/>
      <c r="G279" s="69"/>
      <c r="H279" s="45"/>
      <c r="I279" s="45"/>
      <c r="J279" s="69"/>
      <c r="K279" s="45"/>
      <c r="L279" s="45"/>
      <c r="M279" s="45"/>
      <c r="N279" s="69"/>
      <c r="O279" s="45"/>
      <c r="P279" s="45"/>
      <c r="Q279" s="69"/>
      <c r="R279" s="45"/>
      <c r="S279" s="45"/>
      <c r="T279" s="69"/>
      <c r="U279" s="45"/>
      <c r="V279" s="45"/>
      <c r="W279" s="45"/>
      <c r="X279" s="45"/>
      <c r="Y279" s="69"/>
      <c r="Z279" s="45"/>
      <c r="AA279" s="45"/>
      <c r="AB279" s="70"/>
      <c r="AC279" s="70"/>
      <c r="AD279" s="70"/>
      <c r="AE279" s="70"/>
      <c r="AF279" s="45"/>
      <c r="AG279" s="71"/>
      <c r="AH279" s="71"/>
      <c r="AI279" s="45"/>
      <c r="AJ279" s="45"/>
      <c r="AK279" s="45"/>
      <c r="AL279" s="45"/>
      <c r="AM279" s="45"/>
      <c r="AN279" s="45"/>
    </row>
    <row r="280">
      <c r="A280" s="45"/>
      <c r="B280" s="45"/>
      <c r="C280" s="45"/>
      <c r="D280" s="45"/>
      <c r="E280" s="45"/>
      <c r="F280" s="45"/>
      <c r="G280" s="69"/>
      <c r="H280" s="45"/>
      <c r="I280" s="45"/>
      <c r="J280" s="69"/>
      <c r="K280" s="45"/>
      <c r="L280" s="45"/>
      <c r="M280" s="45"/>
      <c r="N280" s="69"/>
      <c r="O280" s="45"/>
      <c r="P280" s="45"/>
      <c r="Q280" s="69"/>
      <c r="R280" s="45"/>
      <c r="S280" s="45"/>
      <c r="T280" s="69"/>
      <c r="U280" s="45"/>
      <c r="V280" s="45"/>
      <c r="W280" s="45"/>
      <c r="X280" s="45"/>
      <c r="Y280" s="69"/>
      <c r="Z280" s="45"/>
      <c r="AA280" s="45"/>
      <c r="AB280" s="70"/>
      <c r="AC280" s="70"/>
      <c r="AD280" s="70"/>
      <c r="AE280" s="70"/>
      <c r="AF280" s="45"/>
      <c r="AG280" s="71"/>
      <c r="AH280" s="71"/>
      <c r="AI280" s="45"/>
      <c r="AJ280" s="45"/>
      <c r="AK280" s="45"/>
      <c r="AL280" s="45"/>
      <c r="AM280" s="45"/>
      <c r="AN280" s="45"/>
    </row>
    <row r="281">
      <c r="A281" s="45"/>
      <c r="B281" s="45"/>
      <c r="C281" s="45"/>
      <c r="D281" s="45"/>
      <c r="E281" s="45"/>
      <c r="F281" s="45"/>
      <c r="G281" s="69"/>
      <c r="H281" s="45"/>
      <c r="I281" s="45"/>
      <c r="J281" s="69"/>
      <c r="K281" s="45"/>
      <c r="L281" s="45"/>
      <c r="M281" s="45"/>
      <c r="N281" s="69"/>
      <c r="O281" s="45"/>
      <c r="P281" s="45"/>
      <c r="Q281" s="69"/>
      <c r="R281" s="45"/>
      <c r="S281" s="45"/>
      <c r="T281" s="69"/>
      <c r="U281" s="45"/>
      <c r="V281" s="45"/>
      <c r="W281" s="45"/>
      <c r="X281" s="45"/>
      <c r="Y281" s="69"/>
      <c r="Z281" s="45"/>
      <c r="AA281" s="45"/>
      <c r="AB281" s="70"/>
      <c r="AC281" s="70"/>
      <c r="AD281" s="70"/>
      <c r="AE281" s="70"/>
      <c r="AF281" s="45"/>
      <c r="AG281" s="71"/>
      <c r="AH281" s="71"/>
      <c r="AI281" s="45"/>
      <c r="AJ281" s="45"/>
      <c r="AK281" s="45"/>
      <c r="AL281" s="45"/>
      <c r="AM281" s="45"/>
      <c r="AN281" s="45"/>
    </row>
    <row r="282">
      <c r="A282" s="45"/>
      <c r="B282" s="45"/>
      <c r="C282" s="45"/>
      <c r="D282" s="45"/>
      <c r="E282" s="45"/>
      <c r="F282" s="45"/>
      <c r="G282" s="69"/>
      <c r="H282" s="45"/>
      <c r="I282" s="45"/>
      <c r="J282" s="69"/>
      <c r="K282" s="45"/>
      <c r="L282" s="45"/>
      <c r="M282" s="45"/>
      <c r="N282" s="69"/>
      <c r="O282" s="45"/>
      <c r="P282" s="45"/>
      <c r="Q282" s="69"/>
      <c r="R282" s="45"/>
      <c r="S282" s="45"/>
      <c r="T282" s="69"/>
      <c r="U282" s="45"/>
      <c r="V282" s="45"/>
      <c r="W282" s="45"/>
      <c r="X282" s="45"/>
      <c r="Y282" s="69"/>
      <c r="Z282" s="45"/>
      <c r="AA282" s="45"/>
      <c r="AB282" s="70"/>
      <c r="AC282" s="70"/>
      <c r="AD282" s="70"/>
      <c r="AE282" s="70"/>
      <c r="AF282" s="45"/>
      <c r="AG282" s="71"/>
      <c r="AH282" s="71"/>
      <c r="AI282" s="45"/>
      <c r="AJ282" s="45"/>
      <c r="AK282" s="45"/>
      <c r="AL282" s="45"/>
      <c r="AM282" s="45"/>
      <c r="AN282" s="45"/>
    </row>
    <row r="283">
      <c r="A283" s="45"/>
      <c r="B283" s="45"/>
      <c r="C283" s="45"/>
      <c r="D283" s="45"/>
      <c r="E283" s="45"/>
      <c r="F283" s="45"/>
      <c r="G283" s="69"/>
      <c r="H283" s="45"/>
      <c r="I283" s="45"/>
      <c r="J283" s="69"/>
      <c r="K283" s="45"/>
      <c r="L283" s="45"/>
      <c r="M283" s="45"/>
      <c r="N283" s="69"/>
      <c r="O283" s="45"/>
      <c r="P283" s="45"/>
      <c r="Q283" s="69"/>
      <c r="R283" s="45"/>
      <c r="S283" s="45"/>
      <c r="T283" s="69"/>
      <c r="U283" s="45"/>
      <c r="V283" s="45"/>
      <c r="W283" s="45"/>
      <c r="X283" s="45"/>
      <c r="Y283" s="69"/>
      <c r="Z283" s="45"/>
      <c r="AA283" s="45"/>
      <c r="AB283" s="70"/>
      <c r="AC283" s="70"/>
      <c r="AD283" s="70"/>
      <c r="AE283" s="70"/>
      <c r="AF283" s="45"/>
      <c r="AG283" s="71"/>
      <c r="AH283" s="71"/>
      <c r="AI283" s="45"/>
      <c r="AJ283" s="45"/>
      <c r="AK283" s="45"/>
      <c r="AL283" s="45"/>
      <c r="AM283" s="45"/>
      <c r="AN283" s="45"/>
    </row>
    <row r="284">
      <c r="A284" s="45"/>
      <c r="B284" s="45"/>
      <c r="C284" s="45"/>
      <c r="D284" s="45"/>
      <c r="E284" s="45"/>
      <c r="F284" s="45"/>
      <c r="G284" s="69"/>
      <c r="H284" s="45"/>
      <c r="I284" s="45"/>
      <c r="J284" s="69"/>
      <c r="K284" s="45"/>
      <c r="L284" s="45"/>
      <c r="M284" s="45"/>
      <c r="N284" s="69"/>
      <c r="O284" s="45"/>
      <c r="P284" s="45"/>
      <c r="Q284" s="69"/>
      <c r="R284" s="45"/>
      <c r="S284" s="45"/>
      <c r="T284" s="69"/>
      <c r="U284" s="45"/>
      <c r="V284" s="45"/>
      <c r="W284" s="45"/>
      <c r="X284" s="45"/>
      <c r="Y284" s="69"/>
      <c r="Z284" s="45"/>
      <c r="AA284" s="45"/>
      <c r="AB284" s="70"/>
      <c r="AC284" s="70"/>
      <c r="AD284" s="70"/>
      <c r="AE284" s="70"/>
      <c r="AF284" s="45"/>
      <c r="AG284" s="71"/>
      <c r="AH284" s="71"/>
      <c r="AI284" s="45"/>
      <c r="AJ284" s="45"/>
      <c r="AK284" s="45"/>
      <c r="AL284" s="45"/>
      <c r="AM284" s="45"/>
      <c r="AN284" s="45"/>
    </row>
    <row r="285">
      <c r="A285" s="45"/>
      <c r="B285" s="45"/>
      <c r="C285" s="45"/>
      <c r="D285" s="45"/>
      <c r="E285" s="45"/>
      <c r="F285" s="45"/>
      <c r="G285" s="69"/>
      <c r="H285" s="45"/>
      <c r="I285" s="45"/>
      <c r="J285" s="69"/>
      <c r="K285" s="45"/>
      <c r="L285" s="45"/>
      <c r="M285" s="45"/>
      <c r="N285" s="69"/>
      <c r="O285" s="45"/>
      <c r="P285" s="45"/>
      <c r="Q285" s="69"/>
      <c r="R285" s="45"/>
      <c r="S285" s="45"/>
      <c r="T285" s="69"/>
      <c r="U285" s="45"/>
      <c r="V285" s="45"/>
      <c r="W285" s="45"/>
      <c r="X285" s="45"/>
      <c r="Y285" s="69"/>
      <c r="Z285" s="45"/>
      <c r="AA285" s="45"/>
      <c r="AB285" s="70"/>
      <c r="AC285" s="70"/>
      <c r="AD285" s="70"/>
      <c r="AE285" s="70"/>
      <c r="AF285" s="45"/>
      <c r="AG285" s="71"/>
      <c r="AH285" s="71"/>
      <c r="AI285" s="45"/>
      <c r="AJ285" s="45"/>
      <c r="AK285" s="45"/>
      <c r="AL285" s="45"/>
      <c r="AM285" s="45"/>
      <c r="AN285" s="45"/>
    </row>
    <row r="286">
      <c r="A286" s="45"/>
      <c r="B286" s="45"/>
      <c r="C286" s="45"/>
      <c r="D286" s="45"/>
      <c r="E286" s="45"/>
      <c r="F286" s="45"/>
      <c r="G286" s="69"/>
      <c r="H286" s="45"/>
      <c r="I286" s="45"/>
      <c r="J286" s="69"/>
      <c r="K286" s="45"/>
      <c r="L286" s="45"/>
      <c r="M286" s="45"/>
      <c r="N286" s="69"/>
      <c r="O286" s="45"/>
      <c r="P286" s="45"/>
      <c r="Q286" s="69"/>
      <c r="R286" s="45"/>
      <c r="S286" s="45"/>
      <c r="T286" s="69"/>
      <c r="U286" s="45"/>
      <c r="V286" s="45"/>
      <c r="W286" s="45"/>
      <c r="X286" s="45"/>
      <c r="Y286" s="69"/>
      <c r="Z286" s="45"/>
      <c r="AA286" s="45"/>
      <c r="AB286" s="70"/>
      <c r="AC286" s="70"/>
      <c r="AD286" s="70"/>
      <c r="AE286" s="70"/>
      <c r="AF286" s="45"/>
      <c r="AG286" s="71"/>
      <c r="AH286" s="71"/>
      <c r="AI286" s="45"/>
      <c r="AJ286" s="45"/>
      <c r="AK286" s="45"/>
      <c r="AL286" s="45"/>
      <c r="AM286" s="45"/>
      <c r="AN286" s="45"/>
    </row>
    <row r="287">
      <c r="A287" s="45"/>
      <c r="B287" s="45"/>
      <c r="C287" s="45"/>
      <c r="D287" s="45"/>
      <c r="E287" s="45"/>
      <c r="F287" s="45"/>
      <c r="G287" s="69"/>
      <c r="H287" s="45"/>
      <c r="I287" s="45"/>
      <c r="J287" s="69"/>
      <c r="K287" s="45"/>
      <c r="L287" s="45"/>
      <c r="M287" s="45"/>
      <c r="N287" s="69"/>
      <c r="O287" s="45"/>
      <c r="P287" s="45"/>
      <c r="Q287" s="69"/>
      <c r="R287" s="45"/>
      <c r="S287" s="45"/>
      <c r="T287" s="69"/>
      <c r="U287" s="45"/>
      <c r="V287" s="45"/>
      <c r="W287" s="45"/>
      <c r="X287" s="45"/>
      <c r="Y287" s="69"/>
      <c r="Z287" s="45"/>
      <c r="AA287" s="45"/>
      <c r="AB287" s="70"/>
      <c r="AC287" s="70"/>
      <c r="AD287" s="70"/>
      <c r="AE287" s="70"/>
      <c r="AF287" s="45"/>
      <c r="AG287" s="71"/>
      <c r="AH287" s="71"/>
      <c r="AI287" s="45"/>
      <c r="AJ287" s="45"/>
      <c r="AK287" s="45"/>
      <c r="AL287" s="45"/>
      <c r="AM287" s="45"/>
      <c r="AN287" s="45"/>
    </row>
    <row r="288">
      <c r="A288" s="45"/>
      <c r="B288" s="45"/>
      <c r="C288" s="45"/>
      <c r="D288" s="45"/>
      <c r="E288" s="45"/>
      <c r="F288" s="45"/>
      <c r="G288" s="69"/>
      <c r="H288" s="45"/>
      <c r="I288" s="45"/>
      <c r="J288" s="69"/>
      <c r="K288" s="45"/>
      <c r="L288" s="45"/>
      <c r="M288" s="45"/>
      <c r="N288" s="69"/>
      <c r="O288" s="45"/>
      <c r="P288" s="45"/>
      <c r="Q288" s="69"/>
      <c r="R288" s="45"/>
      <c r="S288" s="45"/>
      <c r="T288" s="69"/>
      <c r="U288" s="45"/>
      <c r="V288" s="45"/>
      <c r="W288" s="45"/>
      <c r="X288" s="45"/>
      <c r="Y288" s="69"/>
      <c r="Z288" s="45"/>
      <c r="AA288" s="45"/>
      <c r="AB288" s="70"/>
      <c r="AC288" s="70"/>
      <c r="AD288" s="70"/>
      <c r="AE288" s="70"/>
      <c r="AF288" s="45"/>
      <c r="AG288" s="71"/>
      <c r="AH288" s="71"/>
      <c r="AI288" s="45"/>
      <c r="AJ288" s="45"/>
      <c r="AK288" s="45"/>
      <c r="AL288" s="45"/>
      <c r="AM288" s="45"/>
      <c r="AN288" s="45"/>
    </row>
    <row r="289">
      <c r="A289" s="45"/>
      <c r="B289" s="45"/>
      <c r="C289" s="45"/>
      <c r="D289" s="45"/>
      <c r="E289" s="45"/>
      <c r="F289" s="45"/>
      <c r="G289" s="69"/>
      <c r="H289" s="45"/>
      <c r="I289" s="45"/>
      <c r="J289" s="69"/>
      <c r="K289" s="45"/>
      <c r="L289" s="45"/>
      <c r="M289" s="45"/>
      <c r="N289" s="69"/>
      <c r="O289" s="45"/>
      <c r="P289" s="45"/>
      <c r="Q289" s="69"/>
      <c r="R289" s="45"/>
      <c r="S289" s="45"/>
      <c r="T289" s="69"/>
      <c r="U289" s="45"/>
      <c r="V289" s="45"/>
      <c r="W289" s="45"/>
      <c r="X289" s="45"/>
      <c r="Y289" s="69"/>
      <c r="Z289" s="45"/>
      <c r="AA289" s="45"/>
      <c r="AB289" s="70"/>
      <c r="AC289" s="70"/>
      <c r="AD289" s="70"/>
      <c r="AE289" s="70"/>
      <c r="AF289" s="45"/>
      <c r="AG289" s="71"/>
      <c r="AH289" s="71"/>
      <c r="AI289" s="45"/>
      <c r="AJ289" s="45"/>
      <c r="AK289" s="45"/>
      <c r="AL289" s="45"/>
      <c r="AM289" s="45"/>
      <c r="AN289" s="45"/>
    </row>
    <row r="290">
      <c r="A290" s="45"/>
      <c r="B290" s="45"/>
      <c r="C290" s="45"/>
      <c r="D290" s="45"/>
      <c r="E290" s="45"/>
      <c r="F290" s="45"/>
      <c r="G290" s="69"/>
      <c r="H290" s="45"/>
      <c r="I290" s="45"/>
      <c r="J290" s="69"/>
      <c r="K290" s="45"/>
      <c r="L290" s="45"/>
      <c r="M290" s="45"/>
      <c r="N290" s="69"/>
      <c r="O290" s="45"/>
      <c r="P290" s="45"/>
      <c r="Q290" s="69"/>
      <c r="R290" s="45"/>
      <c r="S290" s="45"/>
      <c r="T290" s="69"/>
      <c r="U290" s="45"/>
      <c r="V290" s="45"/>
      <c r="W290" s="45"/>
      <c r="X290" s="45"/>
      <c r="Y290" s="69"/>
      <c r="Z290" s="45"/>
      <c r="AA290" s="45"/>
      <c r="AB290" s="70"/>
      <c r="AC290" s="70"/>
      <c r="AD290" s="70"/>
      <c r="AE290" s="70"/>
      <c r="AF290" s="45"/>
      <c r="AG290" s="71"/>
      <c r="AH290" s="71"/>
      <c r="AI290" s="45"/>
      <c r="AJ290" s="45"/>
      <c r="AK290" s="45"/>
      <c r="AL290" s="45"/>
      <c r="AM290" s="45"/>
      <c r="AN290" s="45"/>
    </row>
    <row r="291">
      <c r="A291" s="45"/>
      <c r="B291" s="45"/>
      <c r="C291" s="45"/>
      <c r="D291" s="45"/>
      <c r="E291" s="45"/>
      <c r="F291" s="45"/>
      <c r="G291" s="69"/>
      <c r="H291" s="45"/>
      <c r="I291" s="45"/>
      <c r="J291" s="69"/>
      <c r="K291" s="45"/>
      <c r="L291" s="45"/>
      <c r="M291" s="45"/>
      <c r="N291" s="69"/>
      <c r="O291" s="45"/>
      <c r="P291" s="45"/>
      <c r="Q291" s="69"/>
      <c r="R291" s="45"/>
      <c r="S291" s="45"/>
      <c r="T291" s="69"/>
      <c r="U291" s="45"/>
      <c r="V291" s="45"/>
      <c r="W291" s="45"/>
      <c r="X291" s="45"/>
      <c r="Y291" s="69"/>
      <c r="Z291" s="45"/>
      <c r="AA291" s="45"/>
      <c r="AB291" s="70"/>
      <c r="AC291" s="70"/>
      <c r="AD291" s="70"/>
      <c r="AE291" s="70"/>
      <c r="AF291" s="45"/>
      <c r="AG291" s="71"/>
      <c r="AH291" s="71"/>
      <c r="AI291" s="45"/>
      <c r="AJ291" s="45"/>
      <c r="AK291" s="45"/>
      <c r="AL291" s="45"/>
      <c r="AM291" s="45"/>
      <c r="AN291" s="45"/>
    </row>
    <row r="292">
      <c r="A292" s="45"/>
      <c r="B292" s="45"/>
      <c r="C292" s="45"/>
      <c r="D292" s="45"/>
      <c r="E292" s="45"/>
      <c r="F292" s="45"/>
      <c r="G292" s="69"/>
      <c r="H292" s="45"/>
      <c r="I292" s="45"/>
      <c r="J292" s="69"/>
      <c r="K292" s="45"/>
      <c r="L292" s="45"/>
      <c r="M292" s="45"/>
      <c r="N292" s="69"/>
      <c r="O292" s="45"/>
      <c r="P292" s="45"/>
      <c r="Q292" s="69"/>
      <c r="R292" s="45"/>
      <c r="S292" s="45"/>
      <c r="T292" s="69"/>
      <c r="U292" s="45"/>
      <c r="V292" s="45"/>
      <c r="W292" s="45"/>
      <c r="X292" s="45"/>
      <c r="Y292" s="69"/>
      <c r="Z292" s="45"/>
      <c r="AA292" s="45"/>
      <c r="AB292" s="70"/>
      <c r="AC292" s="70"/>
      <c r="AD292" s="70"/>
      <c r="AE292" s="70"/>
      <c r="AF292" s="45"/>
      <c r="AG292" s="71"/>
      <c r="AH292" s="71"/>
      <c r="AI292" s="45"/>
      <c r="AJ292" s="45"/>
      <c r="AK292" s="45"/>
      <c r="AL292" s="45"/>
      <c r="AM292" s="45"/>
      <c r="AN292" s="45"/>
    </row>
    <row r="293">
      <c r="A293" s="45"/>
      <c r="B293" s="45"/>
      <c r="C293" s="45"/>
      <c r="D293" s="45"/>
      <c r="E293" s="45"/>
      <c r="F293" s="45"/>
      <c r="G293" s="69"/>
      <c r="H293" s="45"/>
      <c r="I293" s="45"/>
      <c r="J293" s="69"/>
      <c r="K293" s="45"/>
      <c r="L293" s="45"/>
      <c r="M293" s="45"/>
      <c r="N293" s="69"/>
      <c r="O293" s="45"/>
      <c r="P293" s="45"/>
      <c r="Q293" s="69"/>
      <c r="R293" s="45"/>
      <c r="S293" s="45"/>
      <c r="T293" s="69"/>
      <c r="U293" s="45"/>
      <c r="V293" s="45"/>
      <c r="W293" s="45"/>
      <c r="X293" s="45"/>
      <c r="Y293" s="69"/>
      <c r="Z293" s="45"/>
      <c r="AA293" s="45"/>
      <c r="AB293" s="70"/>
      <c r="AC293" s="70"/>
      <c r="AD293" s="70"/>
      <c r="AE293" s="70"/>
      <c r="AF293" s="45"/>
      <c r="AG293" s="71"/>
      <c r="AH293" s="71"/>
      <c r="AI293" s="45"/>
      <c r="AJ293" s="45"/>
      <c r="AK293" s="45"/>
      <c r="AL293" s="45"/>
      <c r="AM293" s="45"/>
      <c r="AN293" s="45"/>
    </row>
    <row r="294">
      <c r="A294" s="45"/>
      <c r="B294" s="45"/>
      <c r="C294" s="45"/>
      <c r="D294" s="45"/>
      <c r="E294" s="45"/>
      <c r="F294" s="45"/>
      <c r="G294" s="69"/>
      <c r="H294" s="45"/>
      <c r="I294" s="45"/>
      <c r="J294" s="69"/>
      <c r="K294" s="45"/>
      <c r="L294" s="45"/>
      <c r="M294" s="45"/>
      <c r="N294" s="69"/>
      <c r="O294" s="45"/>
      <c r="P294" s="45"/>
      <c r="Q294" s="69"/>
      <c r="R294" s="45"/>
      <c r="S294" s="45"/>
      <c r="T294" s="69"/>
      <c r="U294" s="45"/>
      <c r="V294" s="45"/>
      <c r="W294" s="45"/>
      <c r="X294" s="45"/>
      <c r="Y294" s="69"/>
      <c r="Z294" s="45"/>
      <c r="AA294" s="45"/>
      <c r="AB294" s="70"/>
      <c r="AC294" s="70"/>
      <c r="AD294" s="70"/>
      <c r="AE294" s="70"/>
      <c r="AF294" s="45"/>
      <c r="AG294" s="71"/>
      <c r="AH294" s="71"/>
      <c r="AI294" s="45"/>
      <c r="AJ294" s="45"/>
      <c r="AK294" s="45"/>
      <c r="AL294" s="45"/>
      <c r="AM294" s="45"/>
      <c r="AN294" s="45"/>
    </row>
    <row r="295">
      <c r="A295" s="45"/>
      <c r="B295" s="45"/>
      <c r="C295" s="45"/>
      <c r="D295" s="45"/>
      <c r="E295" s="45"/>
      <c r="F295" s="45"/>
      <c r="G295" s="69"/>
      <c r="H295" s="45"/>
      <c r="I295" s="45"/>
      <c r="J295" s="69"/>
      <c r="K295" s="45"/>
      <c r="L295" s="45"/>
      <c r="M295" s="45"/>
      <c r="N295" s="69"/>
      <c r="O295" s="45"/>
      <c r="P295" s="45"/>
      <c r="Q295" s="69"/>
      <c r="R295" s="45"/>
      <c r="S295" s="45"/>
      <c r="T295" s="69"/>
      <c r="U295" s="45"/>
      <c r="V295" s="45"/>
      <c r="W295" s="45"/>
      <c r="X295" s="45"/>
      <c r="Y295" s="69"/>
      <c r="Z295" s="45"/>
      <c r="AA295" s="45"/>
      <c r="AB295" s="70"/>
      <c r="AC295" s="70"/>
      <c r="AD295" s="70"/>
      <c r="AE295" s="70"/>
      <c r="AF295" s="45"/>
      <c r="AG295" s="71"/>
      <c r="AH295" s="71"/>
      <c r="AI295" s="45"/>
      <c r="AJ295" s="45"/>
      <c r="AK295" s="45"/>
      <c r="AL295" s="45"/>
      <c r="AM295" s="45"/>
      <c r="AN295" s="45"/>
    </row>
    <row r="296">
      <c r="A296" s="45"/>
      <c r="B296" s="45"/>
      <c r="C296" s="45"/>
      <c r="D296" s="45"/>
      <c r="E296" s="45"/>
      <c r="F296" s="45"/>
      <c r="G296" s="69"/>
      <c r="H296" s="45"/>
      <c r="I296" s="45"/>
      <c r="J296" s="69"/>
      <c r="K296" s="45"/>
      <c r="L296" s="45"/>
      <c r="M296" s="45"/>
      <c r="N296" s="69"/>
      <c r="O296" s="45"/>
      <c r="P296" s="45"/>
      <c r="Q296" s="69"/>
      <c r="R296" s="45"/>
      <c r="S296" s="45"/>
      <c r="T296" s="69"/>
      <c r="U296" s="45"/>
      <c r="V296" s="45"/>
      <c r="W296" s="45"/>
      <c r="X296" s="45"/>
      <c r="Y296" s="69"/>
      <c r="Z296" s="45"/>
      <c r="AA296" s="45"/>
      <c r="AB296" s="70"/>
      <c r="AC296" s="70"/>
      <c r="AD296" s="70"/>
      <c r="AE296" s="70"/>
      <c r="AF296" s="45"/>
      <c r="AG296" s="71"/>
      <c r="AH296" s="71"/>
      <c r="AI296" s="45"/>
      <c r="AJ296" s="45"/>
      <c r="AK296" s="45"/>
      <c r="AL296" s="45"/>
      <c r="AM296" s="45"/>
      <c r="AN296" s="45"/>
    </row>
    <row r="297">
      <c r="A297" s="45"/>
      <c r="B297" s="45"/>
      <c r="C297" s="45"/>
      <c r="D297" s="45"/>
      <c r="E297" s="45"/>
      <c r="F297" s="45"/>
      <c r="G297" s="69"/>
      <c r="H297" s="45"/>
      <c r="I297" s="45"/>
      <c r="J297" s="69"/>
      <c r="K297" s="45"/>
      <c r="L297" s="45"/>
      <c r="M297" s="45"/>
      <c r="N297" s="69"/>
      <c r="O297" s="45"/>
      <c r="P297" s="45"/>
      <c r="Q297" s="69"/>
      <c r="R297" s="45"/>
      <c r="S297" s="45"/>
      <c r="T297" s="69"/>
      <c r="U297" s="45"/>
      <c r="V297" s="45"/>
      <c r="W297" s="45"/>
      <c r="X297" s="45"/>
      <c r="Y297" s="69"/>
      <c r="Z297" s="45"/>
      <c r="AA297" s="45"/>
      <c r="AB297" s="70"/>
      <c r="AC297" s="70"/>
      <c r="AD297" s="70"/>
      <c r="AE297" s="70"/>
      <c r="AF297" s="45"/>
      <c r="AG297" s="71"/>
      <c r="AH297" s="71"/>
      <c r="AI297" s="45"/>
      <c r="AJ297" s="45"/>
      <c r="AK297" s="45"/>
      <c r="AL297" s="45"/>
      <c r="AM297" s="45"/>
      <c r="AN297" s="45"/>
    </row>
    <row r="298">
      <c r="A298" s="45"/>
      <c r="B298" s="45"/>
      <c r="C298" s="45"/>
      <c r="D298" s="45"/>
      <c r="E298" s="45"/>
      <c r="F298" s="45"/>
      <c r="G298" s="69"/>
      <c r="H298" s="45"/>
      <c r="I298" s="45"/>
      <c r="J298" s="69"/>
      <c r="K298" s="45"/>
      <c r="L298" s="45"/>
      <c r="M298" s="45"/>
      <c r="N298" s="69"/>
      <c r="O298" s="45"/>
      <c r="P298" s="45"/>
      <c r="Q298" s="69"/>
      <c r="R298" s="45"/>
      <c r="S298" s="45"/>
      <c r="T298" s="69"/>
      <c r="U298" s="45"/>
      <c r="V298" s="45"/>
      <c r="W298" s="45"/>
      <c r="X298" s="45"/>
      <c r="Y298" s="69"/>
      <c r="Z298" s="45"/>
      <c r="AA298" s="45"/>
      <c r="AB298" s="70"/>
      <c r="AC298" s="70"/>
      <c r="AD298" s="70"/>
      <c r="AE298" s="70"/>
      <c r="AF298" s="45"/>
      <c r="AG298" s="71"/>
      <c r="AH298" s="71"/>
      <c r="AI298" s="45"/>
      <c r="AJ298" s="45"/>
      <c r="AK298" s="45"/>
      <c r="AL298" s="45"/>
      <c r="AM298" s="45"/>
      <c r="AN298" s="45"/>
    </row>
    <row r="299">
      <c r="A299" s="45"/>
      <c r="B299" s="45"/>
      <c r="C299" s="45"/>
      <c r="D299" s="45"/>
      <c r="E299" s="45"/>
      <c r="F299" s="45"/>
      <c r="G299" s="69"/>
      <c r="H299" s="45"/>
      <c r="I299" s="45"/>
      <c r="J299" s="69"/>
      <c r="K299" s="45"/>
      <c r="L299" s="45"/>
      <c r="M299" s="45"/>
      <c r="N299" s="69"/>
      <c r="O299" s="45"/>
      <c r="P299" s="45"/>
      <c r="Q299" s="69"/>
      <c r="R299" s="45"/>
      <c r="S299" s="45"/>
      <c r="T299" s="69"/>
      <c r="U299" s="45"/>
      <c r="V299" s="45"/>
      <c r="W299" s="45"/>
      <c r="X299" s="45"/>
      <c r="Y299" s="69"/>
      <c r="Z299" s="45"/>
      <c r="AA299" s="45"/>
      <c r="AB299" s="70"/>
      <c r="AC299" s="70"/>
      <c r="AD299" s="70"/>
      <c r="AE299" s="70"/>
      <c r="AF299" s="45"/>
      <c r="AG299" s="71"/>
      <c r="AH299" s="71"/>
      <c r="AI299" s="45"/>
      <c r="AJ299" s="45"/>
      <c r="AK299" s="45"/>
      <c r="AL299" s="45"/>
      <c r="AM299" s="45"/>
      <c r="AN299" s="45"/>
    </row>
    <row r="300">
      <c r="A300" s="45"/>
      <c r="B300" s="45"/>
      <c r="C300" s="45"/>
      <c r="D300" s="45"/>
      <c r="E300" s="45"/>
      <c r="F300" s="45"/>
      <c r="G300" s="69"/>
      <c r="H300" s="45"/>
      <c r="I300" s="45"/>
      <c r="J300" s="69"/>
      <c r="K300" s="45"/>
      <c r="L300" s="45"/>
      <c r="M300" s="45"/>
      <c r="N300" s="69"/>
      <c r="O300" s="45"/>
      <c r="P300" s="45"/>
      <c r="Q300" s="69"/>
      <c r="R300" s="45"/>
      <c r="S300" s="45"/>
      <c r="T300" s="69"/>
      <c r="U300" s="45"/>
      <c r="V300" s="45"/>
      <c r="W300" s="45"/>
      <c r="X300" s="45"/>
      <c r="Y300" s="69"/>
      <c r="Z300" s="45"/>
      <c r="AA300" s="45"/>
      <c r="AB300" s="70"/>
      <c r="AC300" s="70"/>
      <c r="AD300" s="70"/>
      <c r="AE300" s="70"/>
      <c r="AF300" s="45"/>
      <c r="AG300" s="71"/>
      <c r="AH300" s="71"/>
      <c r="AI300" s="45"/>
      <c r="AJ300" s="45"/>
      <c r="AK300" s="45"/>
      <c r="AL300" s="45"/>
      <c r="AM300" s="45"/>
      <c r="AN300" s="45"/>
    </row>
    <row r="301">
      <c r="A301" s="45"/>
      <c r="B301" s="45"/>
      <c r="C301" s="45"/>
      <c r="D301" s="45"/>
      <c r="E301" s="45"/>
      <c r="F301" s="45"/>
      <c r="G301" s="69"/>
      <c r="H301" s="45"/>
      <c r="I301" s="45"/>
      <c r="J301" s="69"/>
      <c r="K301" s="45"/>
      <c r="L301" s="45"/>
      <c r="M301" s="45"/>
      <c r="N301" s="69"/>
      <c r="O301" s="45"/>
      <c r="P301" s="45"/>
      <c r="Q301" s="69"/>
      <c r="R301" s="45"/>
      <c r="S301" s="45"/>
      <c r="T301" s="69"/>
      <c r="U301" s="45"/>
      <c r="V301" s="45"/>
      <c r="W301" s="45"/>
      <c r="X301" s="45"/>
      <c r="Y301" s="69"/>
      <c r="Z301" s="45"/>
      <c r="AA301" s="45"/>
      <c r="AB301" s="70"/>
      <c r="AC301" s="70"/>
      <c r="AD301" s="70"/>
      <c r="AE301" s="70"/>
      <c r="AF301" s="45"/>
      <c r="AG301" s="71"/>
      <c r="AH301" s="71"/>
      <c r="AI301" s="45"/>
      <c r="AJ301" s="45"/>
      <c r="AK301" s="45"/>
      <c r="AL301" s="45"/>
      <c r="AM301" s="45"/>
      <c r="AN301" s="45"/>
    </row>
    <row r="302">
      <c r="A302" s="45"/>
      <c r="B302" s="45"/>
      <c r="C302" s="45"/>
      <c r="D302" s="45"/>
      <c r="E302" s="45"/>
      <c r="F302" s="45"/>
      <c r="G302" s="69"/>
      <c r="H302" s="45"/>
      <c r="I302" s="45"/>
      <c r="J302" s="69"/>
      <c r="K302" s="45"/>
      <c r="L302" s="45"/>
      <c r="M302" s="45"/>
      <c r="N302" s="69"/>
      <c r="O302" s="45"/>
      <c r="P302" s="45"/>
      <c r="Q302" s="69"/>
      <c r="R302" s="45"/>
      <c r="S302" s="45"/>
      <c r="T302" s="69"/>
      <c r="U302" s="45"/>
      <c r="V302" s="45"/>
      <c r="W302" s="45"/>
      <c r="X302" s="45"/>
      <c r="Y302" s="69"/>
      <c r="Z302" s="45"/>
      <c r="AA302" s="45"/>
      <c r="AB302" s="70"/>
      <c r="AC302" s="70"/>
      <c r="AD302" s="70"/>
      <c r="AE302" s="70"/>
      <c r="AF302" s="45"/>
      <c r="AG302" s="71"/>
      <c r="AH302" s="71"/>
      <c r="AI302" s="45"/>
      <c r="AJ302" s="45"/>
      <c r="AK302" s="45"/>
      <c r="AL302" s="45"/>
      <c r="AM302" s="45"/>
      <c r="AN302" s="45"/>
    </row>
    <row r="303">
      <c r="A303" s="45"/>
      <c r="B303" s="45"/>
      <c r="C303" s="45"/>
      <c r="D303" s="45"/>
      <c r="E303" s="45"/>
      <c r="F303" s="45"/>
      <c r="G303" s="69"/>
      <c r="H303" s="45"/>
      <c r="I303" s="45"/>
      <c r="J303" s="69"/>
      <c r="K303" s="45"/>
      <c r="L303" s="45"/>
      <c r="M303" s="45"/>
      <c r="N303" s="69"/>
      <c r="O303" s="45"/>
      <c r="P303" s="45"/>
      <c r="Q303" s="69"/>
      <c r="R303" s="45"/>
      <c r="S303" s="45"/>
      <c r="T303" s="69"/>
      <c r="U303" s="45"/>
      <c r="V303" s="45"/>
      <c r="W303" s="45"/>
      <c r="X303" s="45"/>
      <c r="Y303" s="69"/>
      <c r="Z303" s="45"/>
      <c r="AA303" s="45"/>
      <c r="AB303" s="70"/>
      <c r="AC303" s="70"/>
      <c r="AD303" s="70"/>
      <c r="AE303" s="70"/>
      <c r="AF303" s="45"/>
      <c r="AG303" s="71"/>
      <c r="AH303" s="71"/>
      <c r="AI303" s="45"/>
      <c r="AJ303" s="45"/>
      <c r="AK303" s="45"/>
      <c r="AL303" s="45"/>
      <c r="AM303" s="45"/>
      <c r="AN303" s="45"/>
    </row>
    <row r="304">
      <c r="A304" s="45"/>
      <c r="B304" s="45"/>
      <c r="C304" s="45"/>
      <c r="D304" s="45"/>
      <c r="E304" s="45"/>
      <c r="F304" s="45"/>
      <c r="G304" s="69"/>
      <c r="H304" s="45"/>
      <c r="I304" s="45"/>
      <c r="J304" s="69"/>
      <c r="K304" s="45"/>
      <c r="L304" s="45"/>
      <c r="M304" s="45"/>
      <c r="N304" s="69"/>
      <c r="O304" s="45"/>
      <c r="P304" s="45"/>
      <c r="Q304" s="69"/>
      <c r="R304" s="45"/>
      <c r="S304" s="45"/>
      <c r="T304" s="69"/>
      <c r="U304" s="45"/>
      <c r="V304" s="45"/>
      <c r="W304" s="45"/>
      <c r="X304" s="45"/>
      <c r="Y304" s="69"/>
      <c r="Z304" s="45"/>
      <c r="AA304" s="45"/>
      <c r="AB304" s="70"/>
      <c r="AC304" s="70"/>
      <c r="AD304" s="70"/>
      <c r="AE304" s="70"/>
      <c r="AF304" s="45"/>
      <c r="AG304" s="71"/>
      <c r="AH304" s="71"/>
      <c r="AI304" s="45"/>
      <c r="AJ304" s="45"/>
      <c r="AK304" s="45"/>
      <c r="AL304" s="45"/>
      <c r="AM304" s="45"/>
      <c r="AN304" s="45"/>
    </row>
    <row r="305">
      <c r="A305" s="45"/>
      <c r="B305" s="45"/>
      <c r="C305" s="45"/>
      <c r="D305" s="45"/>
      <c r="E305" s="45"/>
      <c r="F305" s="45"/>
      <c r="G305" s="69"/>
      <c r="H305" s="45"/>
      <c r="I305" s="45"/>
      <c r="J305" s="69"/>
      <c r="K305" s="45"/>
      <c r="L305" s="45"/>
      <c r="M305" s="45"/>
      <c r="N305" s="69"/>
      <c r="O305" s="45"/>
      <c r="P305" s="45"/>
      <c r="Q305" s="69"/>
      <c r="R305" s="45"/>
      <c r="S305" s="45"/>
      <c r="T305" s="69"/>
      <c r="U305" s="45"/>
      <c r="V305" s="45"/>
      <c r="W305" s="45"/>
      <c r="X305" s="45"/>
      <c r="Y305" s="69"/>
      <c r="Z305" s="45"/>
      <c r="AA305" s="45"/>
      <c r="AB305" s="70"/>
      <c r="AC305" s="70"/>
      <c r="AD305" s="70"/>
      <c r="AE305" s="70"/>
      <c r="AF305" s="45"/>
      <c r="AG305" s="71"/>
      <c r="AH305" s="71"/>
      <c r="AI305" s="45"/>
      <c r="AJ305" s="45"/>
      <c r="AK305" s="45"/>
      <c r="AL305" s="45"/>
      <c r="AM305" s="45"/>
      <c r="AN305" s="45"/>
    </row>
    <row r="306">
      <c r="A306" s="45"/>
      <c r="B306" s="45"/>
      <c r="C306" s="45"/>
      <c r="D306" s="45"/>
      <c r="E306" s="45"/>
      <c r="F306" s="45"/>
      <c r="G306" s="69"/>
      <c r="H306" s="45"/>
      <c r="I306" s="45"/>
      <c r="J306" s="69"/>
      <c r="K306" s="45"/>
      <c r="L306" s="45"/>
      <c r="M306" s="45"/>
      <c r="N306" s="69"/>
      <c r="O306" s="45"/>
      <c r="P306" s="45"/>
      <c r="Q306" s="69"/>
      <c r="R306" s="45"/>
      <c r="S306" s="45"/>
      <c r="T306" s="69"/>
      <c r="U306" s="45"/>
      <c r="V306" s="45"/>
      <c r="W306" s="45"/>
      <c r="X306" s="45"/>
      <c r="Y306" s="69"/>
      <c r="Z306" s="45"/>
      <c r="AA306" s="45"/>
      <c r="AB306" s="70"/>
      <c r="AC306" s="70"/>
      <c r="AD306" s="70"/>
      <c r="AE306" s="70"/>
      <c r="AF306" s="45"/>
      <c r="AG306" s="71"/>
      <c r="AH306" s="71"/>
      <c r="AI306" s="45"/>
      <c r="AJ306" s="45"/>
      <c r="AK306" s="45"/>
      <c r="AL306" s="45"/>
      <c r="AM306" s="45"/>
      <c r="AN306" s="45"/>
    </row>
    <row r="307">
      <c r="A307" s="45"/>
      <c r="B307" s="45"/>
      <c r="C307" s="45"/>
      <c r="D307" s="45"/>
      <c r="E307" s="45"/>
      <c r="F307" s="45"/>
      <c r="G307" s="69"/>
      <c r="H307" s="45"/>
      <c r="I307" s="45"/>
      <c r="J307" s="69"/>
      <c r="K307" s="45"/>
      <c r="L307" s="45"/>
      <c r="M307" s="45"/>
      <c r="N307" s="69"/>
      <c r="O307" s="45"/>
      <c r="P307" s="45"/>
      <c r="Q307" s="69"/>
      <c r="R307" s="45"/>
      <c r="S307" s="45"/>
      <c r="T307" s="69"/>
      <c r="U307" s="45"/>
      <c r="V307" s="45"/>
      <c r="W307" s="45"/>
      <c r="X307" s="45"/>
      <c r="Y307" s="69"/>
      <c r="Z307" s="45"/>
      <c r="AA307" s="45"/>
      <c r="AB307" s="70"/>
      <c r="AC307" s="70"/>
      <c r="AD307" s="70"/>
      <c r="AE307" s="70"/>
      <c r="AF307" s="45"/>
      <c r="AG307" s="71"/>
      <c r="AH307" s="71"/>
      <c r="AI307" s="45"/>
      <c r="AJ307" s="45"/>
      <c r="AK307" s="45"/>
      <c r="AL307" s="45"/>
      <c r="AM307" s="45"/>
      <c r="AN307" s="45"/>
    </row>
    <row r="308">
      <c r="A308" s="45"/>
      <c r="B308" s="45"/>
      <c r="C308" s="45"/>
      <c r="D308" s="45"/>
      <c r="E308" s="45"/>
      <c r="F308" s="45"/>
      <c r="G308" s="69"/>
      <c r="H308" s="45"/>
      <c r="I308" s="45"/>
      <c r="J308" s="69"/>
      <c r="K308" s="45"/>
      <c r="L308" s="45"/>
      <c r="M308" s="45"/>
      <c r="N308" s="69"/>
      <c r="O308" s="45"/>
      <c r="P308" s="45"/>
      <c r="Q308" s="69"/>
      <c r="R308" s="45"/>
      <c r="S308" s="45"/>
      <c r="T308" s="69"/>
      <c r="U308" s="45"/>
      <c r="V308" s="45"/>
      <c r="W308" s="45"/>
      <c r="X308" s="45"/>
      <c r="Y308" s="69"/>
      <c r="Z308" s="45"/>
      <c r="AA308" s="45"/>
      <c r="AB308" s="70"/>
      <c r="AC308" s="70"/>
      <c r="AD308" s="70"/>
      <c r="AE308" s="70"/>
      <c r="AF308" s="45"/>
      <c r="AG308" s="71"/>
      <c r="AH308" s="71"/>
      <c r="AI308" s="45"/>
      <c r="AJ308" s="45"/>
      <c r="AK308" s="45"/>
      <c r="AL308" s="45"/>
      <c r="AM308" s="45"/>
      <c r="AN308" s="45"/>
    </row>
    <row r="309">
      <c r="A309" s="45"/>
      <c r="B309" s="45"/>
      <c r="C309" s="45"/>
      <c r="D309" s="45"/>
      <c r="E309" s="45"/>
      <c r="F309" s="45"/>
      <c r="G309" s="69"/>
      <c r="H309" s="45"/>
      <c r="I309" s="45"/>
      <c r="J309" s="69"/>
      <c r="K309" s="45"/>
      <c r="L309" s="45"/>
      <c r="M309" s="45"/>
      <c r="N309" s="69"/>
      <c r="O309" s="45"/>
      <c r="P309" s="45"/>
      <c r="Q309" s="69"/>
      <c r="R309" s="45"/>
      <c r="S309" s="45"/>
      <c r="T309" s="69"/>
      <c r="U309" s="45"/>
      <c r="V309" s="45"/>
      <c r="W309" s="45"/>
      <c r="X309" s="45"/>
      <c r="Y309" s="69"/>
      <c r="Z309" s="45"/>
      <c r="AA309" s="45"/>
      <c r="AB309" s="70"/>
      <c r="AC309" s="70"/>
      <c r="AD309" s="70"/>
      <c r="AE309" s="70"/>
      <c r="AF309" s="45"/>
      <c r="AG309" s="71"/>
      <c r="AH309" s="71"/>
      <c r="AI309" s="45"/>
      <c r="AJ309" s="45"/>
      <c r="AK309" s="45"/>
      <c r="AL309" s="45"/>
      <c r="AM309" s="45"/>
      <c r="AN309" s="45"/>
    </row>
    <row r="310">
      <c r="A310" s="45"/>
      <c r="B310" s="45"/>
      <c r="C310" s="45"/>
      <c r="D310" s="45"/>
      <c r="E310" s="45"/>
      <c r="F310" s="45"/>
      <c r="G310" s="69"/>
      <c r="H310" s="45"/>
      <c r="I310" s="45"/>
      <c r="J310" s="69"/>
      <c r="K310" s="45"/>
      <c r="L310" s="45"/>
      <c r="M310" s="45"/>
      <c r="N310" s="69"/>
      <c r="O310" s="45"/>
      <c r="P310" s="45"/>
      <c r="Q310" s="69"/>
      <c r="R310" s="45"/>
      <c r="S310" s="45"/>
      <c r="T310" s="69"/>
      <c r="U310" s="45"/>
      <c r="V310" s="45"/>
      <c r="W310" s="45"/>
      <c r="X310" s="45"/>
      <c r="Y310" s="69"/>
      <c r="Z310" s="45"/>
      <c r="AA310" s="45"/>
      <c r="AB310" s="70"/>
      <c r="AC310" s="70"/>
      <c r="AD310" s="70"/>
      <c r="AE310" s="70"/>
      <c r="AF310" s="45"/>
      <c r="AG310" s="71"/>
      <c r="AH310" s="71"/>
      <c r="AI310" s="45"/>
      <c r="AJ310" s="45"/>
      <c r="AK310" s="45"/>
      <c r="AL310" s="45"/>
      <c r="AM310" s="45"/>
      <c r="AN310" s="45"/>
    </row>
    <row r="311">
      <c r="A311" s="45"/>
      <c r="B311" s="45"/>
      <c r="C311" s="45"/>
      <c r="D311" s="45"/>
      <c r="E311" s="45"/>
      <c r="F311" s="45"/>
      <c r="G311" s="69"/>
      <c r="H311" s="45"/>
      <c r="I311" s="45"/>
      <c r="J311" s="69"/>
      <c r="K311" s="45"/>
      <c r="L311" s="45"/>
      <c r="M311" s="45"/>
      <c r="N311" s="69"/>
      <c r="O311" s="45"/>
      <c r="P311" s="45"/>
      <c r="Q311" s="69"/>
      <c r="R311" s="45"/>
      <c r="S311" s="45"/>
      <c r="T311" s="69"/>
      <c r="U311" s="45"/>
      <c r="V311" s="45"/>
      <c r="W311" s="45"/>
      <c r="X311" s="45"/>
      <c r="Y311" s="69"/>
      <c r="Z311" s="45"/>
      <c r="AA311" s="45"/>
      <c r="AB311" s="70"/>
      <c r="AC311" s="70"/>
      <c r="AD311" s="70"/>
      <c r="AE311" s="70"/>
      <c r="AF311" s="45"/>
      <c r="AG311" s="71"/>
      <c r="AH311" s="71"/>
      <c r="AI311" s="45"/>
      <c r="AJ311" s="45"/>
      <c r="AK311" s="45"/>
      <c r="AL311" s="45"/>
      <c r="AM311" s="45"/>
      <c r="AN311" s="45"/>
    </row>
    <row r="312">
      <c r="A312" s="45"/>
      <c r="B312" s="45"/>
      <c r="C312" s="45"/>
      <c r="D312" s="45"/>
      <c r="E312" s="45"/>
      <c r="F312" s="45"/>
      <c r="G312" s="69"/>
      <c r="H312" s="45"/>
      <c r="I312" s="45"/>
      <c r="J312" s="69"/>
      <c r="K312" s="45"/>
      <c r="L312" s="45"/>
      <c r="M312" s="45"/>
      <c r="N312" s="69"/>
      <c r="O312" s="45"/>
      <c r="P312" s="45"/>
      <c r="Q312" s="69"/>
      <c r="R312" s="45"/>
      <c r="S312" s="45"/>
      <c r="T312" s="69"/>
      <c r="U312" s="45"/>
      <c r="V312" s="45"/>
      <c r="W312" s="45"/>
      <c r="X312" s="45"/>
      <c r="Y312" s="69"/>
      <c r="Z312" s="45"/>
      <c r="AA312" s="45"/>
      <c r="AB312" s="70"/>
      <c r="AC312" s="70"/>
      <c r="AD312" s="70"/>
      <c r="AE312" s="70"/>
      <c r="AF312" s="45"/>
      <c r="AG312" s="71"/>
      <c r="AH312" s="71"/>
      <c r="AI312" s="45"/>
      <c r="AJ312" s="45"/>
      <c r="AK312" s="45"/>
      <c r="AL312" s="45"/>
      <c r="AM312" s="45"/>
      <c r="AN312" s="45"/>
    </row>
    <row r="313">
      <c r="A313" s="45"/>
      <c r="B313" s="45"/>
      <c r="C313" s="45"/>
      <c r="D313" s="45"/>
      <c r="E313" s="45"/>
      <c r="F313" s="45"/>
      <c r="G313" s="69"/>
      <c r="H313" s="45"/>
      <c r="I313" s="45"/>
      <c r="J313" s="69"/>
      <c r="K313" s="45"/>
      <c r="L313" s="45"/>
      <c r="M313" s="45"/>
      <c r="N313" s="69"/>
      <c r="O313" s="45"/>
      <c r="P313" s="45"/>
      <c r="Q313" s="69"/>
      <c r="R313" s="45"/>
      <c r="S313" s="45"/>
      <c r="T313" s="69"/>
      <c r="U313" s="45"/>
      <c r="V313" s="45"/>
      <c r="W313" s="45"/>
      <c r="X313" s="45"/>
      <c r="Y313" s="69"/>
      <c r="Z313" s="45"/>
      <c r="AA313" s="45"/>
      <c r="AB313" s="70"/>
      <c r="AC313" s="70"/>
      <c r="AD313" s="70"/>
      <c r="AE313" s="70"/>
      <c r="AF313" s="45"/>
      <c r="AG313" s="71"/>
      <c r="AH313" s="71"/>
      <c r="AI313" s="45"/>
      <c r="AJ313" s="45"/>
      <c r="AK313" s="45"/>
      <c r="AL313" s="45"/>
      <c r="AM313" s="45"/>
      <c r="AN313" s="45"/>
    </row>
    <row r="314">
      <c r="A314" s="45"/>
      <c r="B314" s="45"/>
      <c r="C314" s="45"/>
      <c r="D314" s="45"/>
      <c r="E314" s="45"/>
      <c r="F314" s="45"/>
      <c r="G314" s="69"/>
      <c r="H314" s="45"/>
      <c r="I314" s="45"/>
      <c r="J314" s="69"/>
      <c r="K314" s="45"/>
      <c r="L314" s="45"/>
      <c r="M314" s="45"/>
      <c r="N314" s="69"/>
      <c r="O314" s="45"/>
      <c r="P314" s="45"/>
      <c r="Q314" s="69"/>
      <c r="R314" s="45"/>
      <c r="S314" s="45"/>
      <c r="T314" s="69"/>
      <c r="U314" s="45"/>
      <c r="V314" s="45"/>
      <c r="W314" s="45"/>
      <c r="X314" s="45"/>
      <c r="Y314" s="69"/>
      <c r="Z314" s="45"/>
      <c r="AA314" s="45"/>
      <c r="AB314" s="70"/>
      <c r="AC314" s="70"/>
      <c r="AD314" s="70"/>
      <c r="AE314" s="70"/>
      <c r="AF314" s="45"/>
      <c r="AG314" s="71"/>
      <c r="AH314" s="71"/>
      <c r="AI314" s="45"/>
      <c r="AJ314" s="45"/>
      <c r="AK314" s="45"/>
      <c r="AL314" s="45"/>
      <c r="AM314" s="45"/>
      <c r="AN314" s="45"/>
    </row>
    <row r="315">
      <c r="A315" s="45"/>
      <c r="B315" s="45"/>
      <c r="C315" s="45"/>
      <c r="D315" s="45"/>
      <c r="E315" s="45"/>
      <c r="F315" s="45"/>
      <c r="G315" s="69"/>
      <c r="H315" s="45"/>
      <c r="I315" s="45"/>
      <c r="J315" s="69"/>
      <c r="K315" s="45"/>
      <c r="L315" s="45"/>
      <c r="M315" s="45"/>
      <c r="N315" s="69"/>
      <c r="O315" s="45"/>
      <c r="P315" s="45"/>
      <c r="Q315" s="69"/>
      <c r="R315" s="45"/>
      <c r="S315" s="45"/>
      <c r="T315" s="69"/>
      <c r="U315" s="45"/>
      <c r="V315" s="45"/>
      <c r="W315" s="45"/>
      <c r="X315" s="45"/>
      <c r="Y315" s="69"/>
      <c r="Z315" s="45"/>
      <c r="AA315" s="45"/>
      <c r="AB315" s="70"/>
      <c r="AC315" s="70"/>
      <c r="AD315" s="70"/>
      <c r="AE315" s="70"/>
      <c r="AF315" s="45"/>
      <c r="AG315" s="71"/>
      <c r="AH315" s="71"/>
      <c r="AI315" s="45"/>
      <c r="AJ315" s="45"/>
      <c r="AK315" s="45"/>
      <c r="AL315" s="45"/>
      <c r="AM315" s="45"/>
      <c r="AN315" s="45"/>
    </row>
    <row r="316">
      <c r="A316" s="45"/>
      <c r="B316" s="45"/>
      <c r="C316" s="45"/>
      <c r="D316" s="45"/>
      <c r="E316" s="45"/>
      <c r="F316" s="45"/>
      <c r="G316" s="69"/>
      <c r="H316" s="45"/>
      <c r="I316" s="45"/>
      <c r="J316" s="69"/>
      <c r="K316" s="45"/>
      <c r="L316" s="45"/>
      <c r="M316" s="45"/>
      <c r="N316" s="69"/>
      <c r="O316" s="45"/>
      <c r="P316" s="45"/>
      <c r="Q316" s="69"/>
      <c r="R316" s="45"/>
      <c r="S316" s="45"/>
      <c r="T316" s="69"/>
      <c r="U316" s="45"/>
      <c r="V316" s="45"/>
      <c r="W316" s="45"/>
      <c r="X316" s="45"/>
      <c r="Y316" s="69"/>
      <c r="Z316" s="45"/>
      <c r="AA316" s="45"/>
      <c r="AB316" s="70"/>
      <c r="AC316" s="70"/>
      <c r="AD316" s="70"/>
      <c r="AE316" s="70"/>
      <c r="AF316" s="45"/>
      <c r="AG316" s="71"/>
      <c r="AH316" s="71"/>
      <c r="AI316" s="45"/>
      <c r="AJ316" s="45"/>
      <c r="AK316" s="45"/>
      <c r="AL316" s="45"/>
      <c r="AM316" s="45"/>
      <c r="AN316" s="45"/>
    </row>
    <row r="317">
      <c r="A317" s="45"/>
      <c r="B317" s="45"/>
      <c r="C317" s="45"/>
      <c r="D317" s="45"/>
      <c r="E317" s="45"/>
      <c r="F317" s="45"/>
      <c r="G317" s="69"/>
      <c r="H317" s="45"/>
      <c r="I317" s="45"/>
      <c r="J317" s="69"/>
      <c r="K317" s="45"/>
      <c r="L317" s="45"/>
      <c r="M317" s="45"/>
      <c r="N317" s="69"/>
      <c r="O317" s="45"/>
      <c r="P317" s="45"/>
      <c r="Q317" s="69"/>
      <c r="R317" s="45"/>
      <c r="S317" s="45"/>
      <c r="T317" s="69"/>
      <c r="U317" s="45"/>
      <c r="V317" s="45"/>
      <c r="W317" s="45"/>
      <c r="X317" s="45"/>
      <c r="Y317" s="69"/>
      <c r="Z317" s="45"/>
      <c r="AA317" s="45"/>
      <c r="AB317" s="70"/>
      <c r="AC317" s="70"/>
      <c r="AD317" s="70"/>
      <c r="AE317" s="70"/>
      <c r="AF317" s="45"/>
      <c r="AG317" s="71"/>
      <c r="AH317" s="71"/>
      <c r="AI317" s="45"/>
      <c r="AJ317" s="45"/>
      <c r="AK317" s="45"/>
      <c r="AL317" s="45"/>
      <c r="AM317" s="45"/>
      <c r="AN317" s="45"/>
    </row>
    <row r="318">
      <c r="A318" s="45"/>
      <c r="B318" s="45"/>
      <c r="C318" s="45"/>
      <c r="D318" s="45"/>
      <c r="E318" s="45"/>
      <c r="F318" s="45"/>
      <c r="G318" s="69"/>
      <c r="H318" s="45"/>
      <c r="I318" s="45"/>
      <c r="J318" s="69"/>
      <c r="K318" s="45"/>
      <c r="L318" s="45"/>
      <c r="M318" s="45"/>
      <c r="N318" s="69"/>
      <c r="O318" s="45"/>
      <c r="P318" s="45"/>
      <c r="Q318" s="69"/>
      <c r="R318" s="45"/>
      <c r="S318" s="45"/>
      <c r="T318" s="69"/>
      <c r="U318" s="45"/>
      <c r="V318" s="45"/>
      <c r="W318" s="45"/>
      <c r="X318" s="45"/>
      <c r="Y318" s="69"/>
      <c r="Z318" s="45"/>
      <c r="AA318" s="45"/>
      <c r="AB318" s="70"/>
      <c r="AC318" s="70"/>
      <c r="AD318" s="70"/>
      <c r="AE318" s="70"/>
      <c r="AF318" s="45"/>
      <c r="AG318" s="71"/>
      <c r="AH318" s="71"/>
      <c r="AI318" s="45"/>
      <c r="AJ318" s="45"/>
      <c r="AK318" s="45"/>
      <c r="AL318" s="45"/>
      <c r="AM318" s="45"/>
      <c r="AN318" s="45"/>
    </row>
    <row r="319">
      <c r="A319" s="45"/>
      <c r="B319" s="45"/>
      <c r="C319" s="45"/>
      <c r="D319" s="45"/>
      <c r="E319" s="45"/>
      <c r="F319" s="45"/>
      <c r="G319" s="69"/>
      <c r="H319" s="45"/>
      <c r="I319" s="45"/>
      <c r="J319" s="69"/>
      <c r="K319" s="45"/>
      <c r="L319" s="45"/>
      <c r="M319" s="45"/>
      <c r="N319" s="69"/>
      <c r="O319" s="45"/>
      <c r="P319" s="45"/>
      <c r="Q319" s="69"/>
      <c r="R319" s="45"/>
      <c r="S319" s="45"/>
      <c r="T319" s="69"/>
      <c r="U319" s="45"/>
      <c r="V319" s="45"/>
      <c r="W319" s="45"/>
      <c r="X319" s="45"/>
      <c r="Y319" s="69"/>
      <c r="Z319" s="45"/>
      <c r="AA319" s="45"/>
      <c r="AB319" s="70"/>
      <c r="AC319" s="70"/>
      <c r="AD319" s="70"/>
      <c r="AE319" s="70"/>
      <c r="AF319" s="45"/>
      <c r="AG319" s="71"/>
      <c r="AH319" s="71"/>
      <c r="AI319" s="45"/>
      <c r="AJ319" s="45"/>
      <c r="AK319" s="45"/>
      <c r="AL319" s="45"/>
      <c r="AM319" s="45"/>
      <c r="AN319" s="45"/>
    </row>
    <row r="320">
      <c r="A320" s="45"/>
      <c r="B320" s="45"/>
      <c r="C320" s="45"/>
      <c r="D320" s="45"/>
      <c r="E320" s="45"/>
      <c r="F320" s="45"/>
      <c r="G320" s="69"/>
      <c r="H320" s="45"/>
      <c r="I320" s="45"/>
      <c r="J320" s="69"/>
      <c r="K320" s="45"/>
      <c r="L320" s="45"/>
      <c r="M320" s="45"/>
      <c r="N320" s="69"/>
      <c r="O320" s="45"/>
      <c r="P320" s="45"/>
      <c r="Q320" s="69"/>
      <c r="R320" s="45"/>
      <c r="S320" s="45"/>
      <c r="T320" s="69"/>
      <c r="U320" s="45"/>
      <c r="V320" s="45"/>
      <c r="W320" s="45"/>
      <c r="X320" s="45"/>
      <c r="Y320" s="69"/>
      <c r="Z320" s="45"/>
      <c r="AA320" s="45"/>
      <c r="AB320" s="70"/>
      <c r="AC320" s="70"/>
      <c r="AD320" s="70"/>
      <c r="AE320" s="70"/>
      <c r="AF320" s="45"/>
      <c r="AG320" s="71"/>
      <c r="AH320" s="71"/>
      <c r="AI320" s="45"/>
      <c r="AJ320" s="45"/>
      <c r="AK320" s="45"/>
      <c r="AL320" s="45"/>
      <c r="AM320" s="45"/>
      <c r="AN320" s="45"/>
    </row>
    <row r="321">
      <c r="A321" s="45"/>
      <c r="B321" s="45"/>
      <c r="C321" s="45"/>
      <c r="D321" s="45"/>
      <c r="E321" s="45"/>
      <c r="F321" s="45"/>
      <c r="G321" s="69"/>
      <c r="H321" s="45"/>
      <c r="I321" s="45"/>
      <c r="J321" s="69"/>
      <c r="K321" s="45"/>
      <c r="L321" s="45"/>
      <c r="M321" s="45"/>
      <c r="N321" s="69"/>
      <c r="O321" s="45"/>
      <c r="P321" s="45"/>
      <c r="Q321" s="69"/>
      <c r="R321" s="45"/>
      <c r="S321" s="45"/>
      <c r="T321" s="69"/>
      <c r="U321" s="45"/>
      <c r="V321" s="45"/>
      <c r="W321" s="45"/>
      <c r="X321" s="45"/>
      <c r="Y321" s="69"/>
      <c r="Z321" s="45"/>
      <c r="AA321" s="45"/>
      <c r="AB321" s="70"/>
      <c r="AC321" s="70"/>
      <c r="AD321" s="70"/>
      <c r="AE321" s="70"/>
      <c r="AF321" s="45"/>
      <c r="AG321" s="71"/>
      <c r="AH321" s="71"/>
      <c r="AI321" s="45"/>
      <c r="AJ321" s="45"/>
      <c r="AK321" s="45"/>
      <c r="AL321" s="45"/>
      <c r="AM321" s="45"/>
      <c r="AN321" s="45"/>
    </row>
    <row r="322">
      <c r="A322" s="45"/>
      <c r="B322" s="45"/>
      <c r="C322" s="45"/>
      <c r="D322" s="45"/>
      <c r="E322" s="45"/>
      <c r="F322" s="45"/>
      <c r="G322" s="69"/>
      <c r="H322" s="45"/>
      <c r="I322" s="45"/>
      <c r="J322" s="69"/>
      <c r="K322" s="45"/>
      <c r="L322" s="45"/>
      <c r="M322" s="45"/>
      <c r="N322" s="69"/>
      <c r="O322" s="45"/>
      <c r="P322" s="45"/>
      <c r="Q322" s="69"/>
      <c r="R322" s="45"/>
      <c r="S322" s="45"/>
      <c r="T322" s="69"/>
      <c r="U322" s="45"/>
      <c r="V322" s="45"/>
      <c r="W322" s="45"/>
      <c r="X322" s="45"/>
      <c r="Y322" s="69"/>
      <c r="Z322" s="45"/>
      <c r="AA322" s="45"/>
      <c r="AB322" s="70"/>
      <c r="AC322" s="70"/>
      <c r="AD322" s="70"/>
      <c r="AE322" s="70"/>
      <c r="AF322" s="45"/>
      <c r="AG322" s="71"/>
      <c r="AH322" s="71"/>
      <c r="AI322" s="45"/>
      <c r="AJ322" s="45"/>
      <c r="AK322" s="45"/>
      <c r="AL322" s="45"/>
      <c r="AM322" s="45"/>
      <c r="AN322" s="45"/>
    </row>
    <row r="323">
      <c r="A323" s="45"/>
      <c r="B323" s="45"/>
      <c r="C323" s="45"/>
      <c r="D323" s="45"/>
      <c r="E323" s="45"/>
      <c r="F323" s="45"/>
      <c r="G323" s="69"/>
      <c r="H323" s="45"/>
      <c r="I323" s="45"/>
      <c r="J323" s="69"/>
      <c r="K323" s="45"/>
      <c r="L323" s="45"/>
      <c r="M323" s="45"/>
      <c r="N323" s="69"/>
      <c r="O323" s="45"/>
      <c r="P323" s="45"/>
      <c r="Q323" s="69"/>
      <c r="R323" s="45"/>
      <c r="S323" s="45"/>
      <c r="T323" s="69"/>
      <c r="U323" s="45"/>
      <c r="V323" s="45"/>
      <c r="W323" s="45"/>
      <c r="X323" s="45"/>
      <c r="Y323" s="69"/>
      <c r="Z323" s="45"/>
      <c r="AA323" s="45"/>
      <c r="AB323" s="70"/>
      <c r="AC323" s="70"/>
      <c r="AD323" s="70"/>
      <c r="AE323" s="70"/>
      <c r="AF323" s="45"/>
      <c r="AG323" s="71"/>
      <c r="AH323" s="71"/>
      <c r="AI323" s="45"/>
      <c r="AJ323" s="45"/>
      <c r="AK323" s="45"/>
      <c r="AL323" s="45"/>
      <c r="AM323" s="45"/>
      <c r="AN323" s="45"/>
    </row>
    <row r="324">
      <c r="A324" s="45"/>
      <c r="B324" s="45"/>
      <c r="C324" s="45"/>
      <c r="D324" s="45"/>
      <c r="E324" s="45"/>
      <c r="F324" s="45"/>
      <c r="G324" s="69"/>
      <c r="H324" s="45"/>
      <c r="I324" s="45"/>
      <c r="J324" s="69"/>
      <c r="K324" s="45"/>
      <c r="L324" s="45"/>
      <c r="M324" s="45"/>
      <c r="N324" s="69"/>
      <c r="O324" s="45"/>
      <c r="P324" s="45"/>
      <c r="Q324" s="69"/>
      <c r="R324" s="45"/>
      <c r="S324" s="45"/>
      <c r="T324" s="69"/>
      <c r="U324" s="45"/>
      <c r="V324" s="45"/>
      <c r="W324" s="45"/>
      <c r="X324" s="45"/>
      <c r="Y324" s="69"/>
      <c r="Z324" s="45"/>
      <c r="AA324" s="45"/>
      <c r="AB324" s="70"/>
      <c r="AC324" s="70"/>
      <c r="AD324" s="70"/>
      <c r="AE324" s="70"/>
      <c r="AF324" s="45"/>
      <c r="AG324" s="71"/>
      <c r="AH324" s="71"/>
      <c r="AI324" s="45"/>
      <c r="AJ324" s="45"/>
      <c r="AK324" s="45"/>
      <c r="AL324" s="45"/>
      <c r="AM324" s="45"/>
      <c r="AN324" s="45"/>
    </row>
    <row r="325">
      <c r="A325" s="45"/>
      <c r="B325" s="45"/>
      <c r="C325" s="45"/>
      <c r="D325" s="45"/>
      <c r="E325" s="45"/>
      <c r="F325" s="45"/>
      <c r="G325" s="69"/>
      <c r="H325" s="45"/>
      <c r="I325" s="45"/>
      <c r="J325" s="69"/>
      <c r="K325" s="45"/>
      <c r="L325" s="45"/>
      <c r="M325" s="45"/>
      <c r="N325" s="69"/>
      <c r="O325" s="45"/>
      <c r="P325" s="45"/>
      <c r="Q325" s="69"/>
      <c r="R325" s="45"/>
      <c r="S325" s="45"/>
      <c r="T325" s="69"/>
      <c r="U325" s="45"/>
      <c r="V325" s="45"/>
      <c r="W325" s="45"/>
      <c r="X325" s="45"/>
      <c r="Y325" s="69"/>
      <c r="Z325" s="45"/>
      <c r="AA325" s="45"/>
      <c r="AB325" s="70"/>
      <c r="AC325" s="70"/>
      <c r="AD325" s="70"/>
      <c r="AE325" s="70"/>
      <c r="AF325" s="45"/>
      <c r="AG325" s="71"/>
      <c r="AH325" s="71"/>
      <c r="AI325" s="45"/>
      <c r="AJ325" s="45"/>
      <c r="AK325" s="45"/>
      <c r="AL325" s="45"/>
      <c r="AM325" s="45"/>
      <c r="AN325" s="45"/>
    </row>
    <row r="326">
      <c r="A326" s="45"/>
      <c r="B326" s="45"/>
      <c r="C326" s="45"/>
      <c r="D326" s="45"/>
      <c r="E326" s="45"/>
      <c r="F326" s="45"/>
      <c r="G326" s="69"/>
      <c r="H326" s="45"/>
      <c r="I326" s="45"/>
      <c r="J326" s="69"/>
      <c r="K326" s="45"/>
      <c r="L326" s="45"/>
      <c r="M326" s="45"/>
      <c r="N326" s="69"/>
      <c r="O326" s="45"/>
      <c r="P326" s="45"/>
      <c r="Q326" s="69"/>
      <c r="R326" s="45"/>
      <c r="S326" s="45"/>
      <c r="T326" s="69"/>
      <c r="U326" s="45"/>
      <c r="V326" s="45"/>
      <c r="W326" s="45"/>
      <c r="X326" s="45"/>
      <c r="Y326" s="69"/>
      <c r="Z326" s="45"/>
      <c r="AA326" s="45"/>
      <c r="AB326" s="70"/>
      <c r="AC326" s="70"/>
      <c r="AD326" s="70"/>
      <c r="AE326" s="70"/>
      <c r="AF326" s="45"/>
      <c r="AG326" s="71"/>
      <c r="AH326" s="71"/>
      <c r="AI326" s="45"/>
      <c r="AJ326" s="45"/>
      <c r="AK326" s="45"/>
      <c r="AL326" s="45"/>
      <c r="AM326" s="45"/>
      <c r="AN326" s="45"/>
    </row>
    <row r="327">
      <c r="A327" s="45"/>
      <c r="B327" s="45"/>
      <c r="C327" s="45"/>
      <c r="D327" s="45"/>
      <c r="E327" s="45"/>
      <c r="F327" s="45"/>
      <c r="G327" s="69"/>
      <c r="H327" s="45"/>
      <c r="I327" s="45"/>
      <c r="J327" s="69"/>
      <c r="K327" s="45"/>
      <c r="L327" s="45"/>
      <c r="M327" s="45"/>
      <c r="N327" s="69"/>
      <c r="O327" s="45"/>
      <c r="P327" s="45"/>
      <c r="Q327" s="69"/>
      <c r="R327" s="45"/>
      <c r="S327" s="45"/>
      <c r="T327" s="69"/>
      <c r="U327" s="45"/>
      <c r="V327" s="45"/>
      <c r="W327" s="45"/>
      <c r="X327" s="45"/>
      <c r="Y327" s="69"/>
      <c r="Z327" s="45"/>
      <c r="AA327" s="45"/>
      <c r="AB327" s="70"/>
      <c r="AC327" s="70"/>
      <c r="AD327" s="70"/>
      <c r="AE327" s="70"/>
      <c r="AF327" s="45"/>
      <c r="AG327" s="71"/>
      <c r="AH327" s="71"/>
      <c r="AI327" s="45"/>
      <c r="AJ327" s="45"/>
      <c r="AK327" s="45"/>
      <c r="AL327" s="45"/>
      <c r="AM327" s="45"/>
      <c r="AN327" s="45"/>
    </row>
    <row r="328">
      <c r="A328" s="45"/>
      <c r="B328" s="45"/>
      <c r="C328" s="45"/>
      <c r="D328" s="45"/>
      <c r="E328" s="45"/>
      <c r="F328" s="45"/>
      <c r="G328" s="69"/>
      <c r="H328" s="45"/>
      <c r="I328" s="45"/>
      <c r="J328" s="69"/>
      <c r="K328" s="45"/>
      <c r="L328" s="45"/>
      <c r="M328" s="45"/>
      <c r="N328" s="69"/>
      <c r="O328" s="45"/>
      <c r="P328" s="45"/>
      <c r="Q328" s="69"/>
      <c r="R328" s="45"/>
      <c r="S328" s="45"/>
      <c r="T328" s="69"/>
      <c r="U328" s="45"/>
      <c r="V328" s="45"/>
      <c r="W328" s="45"/>
      <c r="X328" s="45"/>
      <c r="Y328" s="69"/>
      <c r="Z328" s="45"/>
      <c r="AA328" s="45"/>
      <c r="AB328" s="70"/>
      <c r="AC328" s="70"/>
      <c r="AD328" s="70"/>
      <c r="AE328" s="70"/>
      <c r="AF328" s="45"/>
      <c r="AG328" s="71"/>
      <c r="AH328" s="71"/>
      <c r="AI328" s="45"/>
      <c r="AJ328" s="45"/>
      <c r="AK328" s="45"/>
      <c r="AL328" s="45"/>
      <c r="AM328" s="45"/>
      <c r="AN328" s="45"/>
    </row>
    <row r="329">
      <c r="A329" s="45"/>
      <c r="B329" s="45"/>
      <c r="C329" s="45"/>
      <c r="D329" s="45"/>
      <c r="E329" s="45"/>
      <c r="F329" s="45"/>
      <c r="G329" s="69"/>
      <c r="H329" s="45"/>
      <c r="I329" s="45"/>
      <c r="J329" s="69"/>
      <c r="K329" s="45"/>
      <c r="L329" s="45"/>
      <c r="M329" s="45"/>
      <c r="N329" s="69"/>
      <c r="O329" s="45"/>
      <c r="P329" s="45"/>
      <c r="Q329" s="69"/>
      <c r="R329" s="45"/>
      <c r="S329" s="45"/>
      <c r="T329" s="69"/>
      <c r="U329" s="45"/>
      <c r="V329" s="45"/>
      <c r="W329" s="45"/>
      <c r="X329" s="45"/>
      <c r="Y329" s="69"/>
      <c r="Z329" s="45"/>
      <c r="AA329" s="45"/>
      <c r="AB329" s="70"/>
      <c r="AC329" s="70"/>
      <c r="AD329" s="70"/>
      <c r="AE329" s="70"/>
      <c r="AF329" s="45"/>
      <c r="AG329" s="71"/>
      <c r="AH329" s="71"/>
      <c r="AI329" s="45"/>
      <c r="AJ329" s="45"/>
      <c r="AK329" s="45"/>
      <c r="AL329" s="45"/>
      <c r="AM329" s="45"/>
      <c r="AN329" s="45"/>
    </row>
    <row r="330">
      <c r="A330" s="45"/>
      <c r="B330" s="45"/>
      <c r="C330" s="45"/>
      <c r="D330" s="45"/>
      <c r="E330" s="45"/>
      <c r="F330" s="45"/>
      <c r="G330" s="69"/>
      <c r="H330" s="45"/>
      <c r="I330" s="45"/>
      <c r="J330" s="69"/>
      <c r="K330" s="45"/>
      <c r="L330" s="45"/>
      <c r="M330" s="45"/>
      <c r="N330" s="69"/>
      <c r="O330" s="45"/>
      <c r="P330" s="45"/>
      <c r="Q330" s="69"/>
      <c r="R330" s="45"/>
      <c r="S330" s="45"/>
      <c r="T330" s="69"/>
      <c r="U330" s="45"/>
      <c r="V330" s="45"/>
      <c r="W330" s="45"/>
      <c r="X330" s="45"/>
      <c r="Y330" s="69"/>
      <c r="Z330" s="45"/>
      <c r="AA330" s="45"/>
      <c r="AB330" s="70"/>
      <c r="AC330" s="70"/>
      <c r="AD330" s="70"/>
      <c r="AE330" s="70"/>
      <c r="AF330" s="45"/>
      <c r="AG330" s="71"/>
      <c r="AH330" s="71"/>
      <c r="AI330" s="45"/>
      <c r="AJ330" s="45"/>
      <c r="AK330" s="45"/>
      <c r="AL330" s="45"/>
      <c r="AM330" s="45"/>
      <c r="AN330" s="45"/>
    </row>
    <row r="331">
      <c r="A331" s="45"/>
      <c r="B331" s="45"/>
      <c r="C331" s="45"/>
      <c r="D331" s="45"/>
      <c r="E331" s="45"/>
      <c r="F331" s="45"/>
      <c r="G331" s="69"/>
      <c r="H331" s="45"/>
      <c r="I331" s="45"/>
      <c r="J331" s="69"/>
      <c r="K331" s="45"/>
      <c r="L331" s="45"/>
      <c r="M331" s="45"/>
      <c r="N331" s="69"/>
      <c r="O331" s="45"/>
      <c r="P331" s="45"/>
      <c r="Q331" s="69"/>
      <c r="R331" s="45"/>
      <c r="S331" s="45"/>
      <c r="T331" s="69"/>
      <c r="U331" s="45"/>
      <c r="V331" s="45"/>
      <c r="W331" s="45"/>
      <c r="X331" s="45"/>
      <c r="Y331" s="69"/>
      <c r="Z331" s="45"/>
      <c r="AA331" s="45"/>
      <c r="AB331" s="70"/>
      <c r="AC331" s="70"/>
      <c r="AD331" s="70"/>
      <c r="AE331" s="70"/>
      <c r="AF331" s="45"/>
      <c r="AG331" s="71"/>
      <c r="AH331" s="71"/>
      <c r="AI331" s="45"/>
      <c r="AJ331" s="45"/>
      <c r="AK331" s="45"/>
      <c r="AL331" s="45"/>
      <c r="AM331" s="45"/>
      <c r="AN331" s="45"/>
    </row>
    <row r="332">
      <c r="A332" s="45"/>
      <c r="B332" s="45"/>
      <c r="C332" s="45"/>
      <c r="D332" s="45"/>
      <c r="E332" s="45"/>
      <c r="F332" s="45"/>
      <c r="G332" s="69"/>
      <c r="H332" s="45"/>
      <c r="I332" s="45"/>
      <c r="J332" s="69"/>
      <c r="K332" s="45"/>
      <c r="L332" s="45"/>
      <c r="M332" s="45"/>
      <c r="N332" s="69"/>
      <c r="O332" s="45"/>
      <c r="P332" s="45"/>
      <c r="Q332" s="69"/>
      <c r="R332" s="45"/>
      <c r="S332" s="45"/>
      <c r="T332" s="69"/>
      <c r="U332" s="45"/>
      <c r="V332" s="45"/>
      <c r="W332" s="45"/>
      <c r="X332" s="45"/>
      <c r="Y332" s="69"/>
      <c r="Z332" s="45"/>
      <c r="AA332" s="45"/>
      <c r="AB332" s="70"/>
      <c r="AC332" s="70"/>
      <c r="AD332" s="70"/>
      <c r="AE332" s="70"/>
      <c r="AF332" s="45"/>
      <c r="AG332" s="71"/>
      <c r="AH332" s="71"/>
      <c r="AI332" s="45"/>
      <c r="AJ332" s="45"/>
      <c r="AK332" s="45"/>
      <c r="AL332" s="45"/>
      <c r="AM332" s="45"/>
      <c r="AN332" s="45"/>
    </row>
    <row r="333">
      <c r="A333" s="45"/>
      <c r="B333" s="45"/>
      <c r="C333" s="45"/>
      <c r="D333" s="45"/>
      <c r="E333" s="45"/>
      <c r="F333" s="45"/>
      <c r="G333" s="69"/>
      <c r="H333" s="45"/>
      <c r="I333" s="45"/>
      <c r="J333" s="69"/>
      <c r="K333" s="45"/>
      <c r="L333" s="45"/>
      <c r="M333" s="45"/>
      <c r="N333" s="69"/>
      <c r="O333" s="45"/>
      <c r="P333" s="45"/>
      <c r="Q333" s="69"/>
      <c r="R333" s="45"/>
      <c r="S333" s="45"/>
      <c r="T333" s="69"/>
      <c r="U333" s="45"/>
      <c r="V333" s="45"/>
      <c r="W333" s="45"/>
      <c r="X333" s="45"/>
      <c r="Y333" s="69"/>
      <c r="Z333" s="45"/>
      <c r="AA333" s="45"/>
      <c r="AB333" s="70"/>
      <c r="AC333" s="70"/>
      <c r="AD333" s="70"/>
      <c r="AE333" s="70"/>
      <c r="AF333" s="45"/>
      <c r="AG333" s="71"/>
      <c r="AH333" s="71"/>
      <c r="AI333" s="45"/>
      <c r="AJ333" s="45"/>
      <c r="AK333" s="45"/>
      <c r="AL333" s="45"/>
      <c r="AM333" s="45"/>
      <c r="AN333" s="45"/>
    </row>
    <row r="334">
      <c r="A334" s="45"/>
      <c r="B334" s="45"/>
      <c r="C334" s="45"/>
      <c r="D334" s="45"/>
      <c r="E334" s="45"/>
      <c r="F334" s="45"/>
      <c r="G334" s="69"/>
      <c r="H334" s="45"/>
      <c r="I334" s="45"/>
      <c r="J334" s="69"/>
      <c r="K334" s="45"/>
      <c r="L334" s="45"/>
      <c r="M334" s="45"/>
      <c r="N334" s="69"/>
      <c r="O334" s="45"/>
      <c r="P334" s="45"/>
      <c r="Q334" s="69"/>
      <c r="R334" s="45"/>
      <c r="S334" s="45"/>
      <c r="T334" s="69"/>
      <c r="U334" s="45"/>
      <c r="V334" s="45"/>
      <c r="W334" s="45"/>
      <c r="X334" s="45"/>
      <c r="Y334" s="69"/>
      <c r="Z334" s="45"/>
      <c r="AA334" s="45"/>
      <c r="AB334" s="70"/>
      <c r="AC334" s="70"/>
      <c r="AD334" s="70"/>
      <c r="AE334" s="70"/>
      <c r="AF334" s="45"/>
      <c r="AG334" s="71"/>
      <c r="AH334" s="71"/>
      <c r="AI334" s="45"/>
      <c r="AJ334" s="45"/>
      <c r="AK334" s="45"/>
      <c r="AL334" s="45"/>
      <c r="AM334" s="45"/>
      <c r="AN334" s="45"/>
    </row>
    <row r="335">
      <c r="A335" s="45"/>
      <c r="B335" s="45"/>
      <c r="C335" s="45"/>
      <c r="D335" s="45"/>
      <c r="E335" s="45"/>
      <c r="F335" s="45"/>
      <c r="G335" s="69"/>
      <c r="H335" s="45"/>
      <c r="I335" s="45"/>
      <c r="J335" s="69"/>
      <c r="K335" s="45"/>
      <c r="L335" s="45"/>
      <c r="M335" s="45"/>
      <c r="N335" s="69"/>
      <c r="O335" s="45"/>
      <c r="P335" s="45"/>
      <c r="Q335" s="69"/>
      <c r="R335" s="45"/>
      <c r="S335" s="45"/>
      <c r="T335" s="69"/>
      <c r="U335" s="45"/>
      <c r="V335" s="45"/>
      <c r="W335" s="45"/>
      <c r="X335" s="45"/>
      <c r="Y335" s="69"/>
      <c r="Z335" s="45"/>
      <c r="AA335" s="45"/>
      <c r="AB335" s="70"/>
      <c r="AC335" s="70"/>
      <c r="AD335" s="70"/>
      <c r="AE335" s="70"/>
      <c r="AF335" s="45"/>
      <c r="AG335" s="71"/>
      <c r="AH335" s="71"/>
      <c r="AI335" s="45"/>
      <c r="AJ335" s="45"/>
      <c r="AK335" s="45"/>
      <c r="AL335" s="45"/>
      <c r="AM335" s="45"/>
      <c r="AN335" s="45"/>
    </row>
    <row r="336">
      <c r="A336" s="45"/>
      <c r="B336" s="45"/>
      <c r="C336" s="45"/>
      <c r="D336" s="45"/>
      <c r="E336" s="45"/>
      <c r="F336" s="45"/>
      <c r="G336" s="69"/>
      <c r="H336" s="45"/>
      <c r="I336" s="45"/>
      <c r="J336" s="69"/>
      <c r="K336" s="45"/>
      <c r="L336" s="45"/>
      <c r="M336" s="45"/>
      <c r="N336" s="69"/>
      <c r="O336" s="45"/>
      <c r="P336" s="45"/>
      <c r="Q336" s="69"/>
      <c r="R336" s="45"/>
      <c r="S336" s="45"/>
      <c r="T336" s="69"/>
      <c r="U336" s="45"/>
      <c r="V336" s="45"/>
      <c r="W336" s="45"/>
      <c r="X336" s="45"/>
      <c r="Y336" s="69"/>
      <c r="Z336" s="45"/>
      <c r="AA336" s="45"/>
      <c r="AB336" s="70"/>
      <c r="AC336" s="70"/>
      <c r="AD336" s="70"/>
      <c r="AE336" s="70"/>
      <c r="AF336" s="45"/>
      <c r="AG336" s="71"/>
      <c r="AH336" s="71"/>
      <c r="AI336" s="45"/>
      <c r="AJ336" s="45"/>
      <c r="AK336" s="45"/>
      <c r="AL336" s="45"/>
      <c r="AM336" s="45"/>
      <c r="AN336" s="45"/>
    </row>
    <row r="337">
      <c r="A337" s="45"/>
      <c r="B337" s="45"/>
      <c r="C337" s="45"/>
      <c r="D337" s="45"/>
      <c r="E337" s="45"/>
      <c r="F337" s="45"/>
      <c r="G337" s="69"/>
      <c r="H337" s="45"/>
      <c r="I337" s="45"/>
      <c r="J337" s="69"/>
      <c r="K337" s="45"/>
      <c r="L337" s="45"/>
      <c r="M337" s="45"/>
      <c r="N337" s="69"/>
      <c r="O337" s="45"/>
      <c r="P337" s="45"/>
      <c r="Q337" s="69"/>
      <c r="R337" s="45"/>
      <c r="S337" s="45"/>
      <c r="T337" s="69"/>
      <c r="U337" s="45"/>
      <c r="V337" s="45"/>
      <c r="W337" s="45"/>
      <c r="X337" s="45"/>
      <c r="Y337" s="69"/>
      <c r="Z337" s="45"/>
      <c r="AA337" s="45"/>
      <c r="AB337" s="70"/>
      <c r="AC337" s="70"/>
      <c r="AD337" s="70"/>
      <c r="AE337" s="70"/>
      <c r="AF337" s="45"/>
      <c r="AG337" s="71"/>
      <c r="AH337" s="71"/>
      <c r="AI337" s="45"/>
      <c r="AJ337" s="45"/>
      <c r="AK337" s="45"/>
      <c r="AL337" s="45"/>
      <c r="AM337" s="45"/>
      <c r="AN337" s="45"/>
    </row>
    <row r="338">
      <c r="A338" s="45"/>
      <c r="B338" s="45"/>
      <c r="C338" s="45"/>
      <c r="D338" s="45"/>
      <c r="E338" s="45"/>
      <c r="F338" s="45"/>
      <c r="G338" s="69"/>
      <c r="H338" s="45"/>
      <c r="I338" s="45"/>
      <c r="J338" s="69"/>
      <c r="K338" s="45"/>
      <c r="L338" s="45"/>
      <c r="M338" s="45"/>
      <c r="N338" s="69"/>
      <c r="O338" s="45"/>
      <c r="P338" s="45"/>
      <c r="Q338" s="69"/>
      <c r="R338" s="45"/>
      <c r="S338" s="45"/>
      <c r="T338" s="69"/>
      <c r="U338" s="45"/>
      <c r="V338" s="45"/>
      <c r="W338" s="45"/>
      <c r="X338" s="45"/>
      <c r="Y338" s="69"/>
      <c r="Z338" s="45"/>
      <c r="AA338" s="45"/>
      <c r="AB338" s="70"/>
      <c r="AC338" s="70"/>
      <c r="AD338" s="70"/>
      <c r="AE338" s="70"/>
      <c r="AF338" s="45"/>
      <c r="AG338" s="71"/>
      <c r="AH338" s="71"/>
      <c r="AI338" s="45"/>
      <c r="AJ338" s="45"/>
      <c r="AK338" s="45"/>
      <c r="AL338" s="45"/>
      <c r="AM338" s="45"/>
      <c r="AN338" s="45"/>
    </row>
    <row r="339">
      <c r="A339" s="45"/>
      <c r="B339" s="45"/>
      <c r="C339" s="45"/>
      <c r="D339" s="45"/>
      <c r="E339" s="45"/>
      <c r="F339" s="45"/>
      <c r="G339" s="69"/>
      <c r="H339" s="45"/>
      <c r="I339" s="45"/>
      <c r="J339" s="69"/>
      <c r="K339" s="45"/>
      <c r="L339" s="45"/>
      <c r="M339" s="45"/>
      <c r="N339" s="69"/>
      <c r="O339" s="45"/>
      <c r="P339" s="45"/>
      <c r="Q339" s="69"/>
      <c r="R339" s="45"/>
      <c r="S339" s="45"/>
      <c r="T339" s="69"/>
      <c r="U339" s="45"/>
      <c r="V339" s="45"/>
      <c r="W339" s="45"/>
      <c r="X339" s="45"/>
      <c r="Y339" s="69"/>
      <c r="Z339" s="45"/>
      <c r="AA339" s="45"/>
      <c r="AB339" s="70"/>
      <c r="AC339" s="70"/>
      <c r="AD339" s="70"/>
      <c r="AE339" s="70"/>
      <c r="AF339" s="45"/>
      <c r="AG339" s="71"/>
      <c r="AH339" s="71"/>
      <c r="AI339" s="45"/>
      <c r="AJ339" s="45"/>
      <c r="AK339" s="45"/>
      <c r="AL339" s="45"/>
      <c r="AM339" s="45"/>
      <c r="AN339" s="45"/>
    </row>
    <row r="340">
      <c r="A340" s="45"/>
      <c r="B340" s="45"/>
      <c r="C340" s="45"/>
      <c r="D340" s="45"/>
      <c r="E340" s="45"/>
      <c r="F340" s="45"/>
      <c r="G340" s="69"/>
      <c r="H340" s="45"/>
      <c r="I340" s="45"/>
      <c r="J340" s="69"/>
      <c r="K340" s="45"/>
      <c r="L340" s="45"/>
      <c r="M340" s="45"/>
      <c r="N340" s="69"/>
      <c r="O340" s="45"/>
      <c r="P340" s="45"/>
      <c r="Q340" s="69"/>
      <c r="R340" s="45"/>
      <c r="S340" s="45"/>
      <c r="T340" s="69"/>
      <c r="U340" s="45"/>
      <c r="V340" s="45"/>
      <c r="W340" s="45"/>
      <c r="X340" s="45"/>
      <c r="Y340" s="69"/>
      <c r="Z340" s="45"/>
      <c r="AA340" s="45"/>
      <c r="AB340" s="70"/>
      <c r="AC340" s="70"/>
      <c r="AD340" s="70"/>
      <c r="AE340" s="70"/>
      <c r="AF340" s="45"/>
      <c r="AG340" s="71"/>
      <c r="AH340" s="71"/>
      <c r="AI340" s="45"/>
      <c r="AJ340" s="45"/>
      <c r="AK340" s="45"/>
      <c r="AL340" s="45"/>
      <c r="AM340" s="45"/>
      <c r="AN340" s="45"/>
    </row>
    <row r="341">
      <c r="A341" s="45"/>
      <c r="B341" s="45"/>
      <c r="C341" s="45"/>
      <c r="D341" s="45"/>
      <c r="E341" s="45"/>
      <c r="F341" s="45"/>
      <c r="G341" s="69"/>
      <c r="H341" s="45"/>
      <c r="I341" s="45"/>
      <c r="J341" s="69"/>
      <c r="K341" s="45"/>
      <c r="L341" s="45"/>
      <c r="M341" s="45"/>
      <c r="N341" s="69"/>
      <c r="O341" s="45"/>
      <c r="P341" s="45"/>
      <c r="Q341" s="69"/>
      <c r="R341" s="45"/>
      <c r="S341" s="45"/>
      <c r="T341" s="69"/>
      <c r="U341" s="45"/>
      <c r="V341" s="45"/>
      <c r="W341" s="45"/>
      <c r="X341" s="45"/>
      <c r="Y341" s="69"/>
      <c r="Z341" s="45"/>
      <c r="AA341" s="45"/>
      <c r="AB341" s="70"/>
      <c r="AC341" s="70"/>
      <c r="AD341" s="70"/>
      <c r="AE341" s="70"/>
      <c r="AF341" s="45"/>
      <c r="AG341" s="71"/>
      <c r="AH341" s="71"/>
      <c r="AI341" s="45"/>
      <c r="AJ341" s="45"/>
      <c r="AK341" s="45"/>
      <c r="AL341" s="45"/>
      <c r="AM341" s="45"/>
      <c r="AN341" s="45"/>
    </row>
    <row r="342">
      <c r="A342" s="45"/>
      <c r="B342" s="45"/>
      <c r="C342" s="45"/>
      <c r="D342" s="45"/>
      <c r="E342" s="45"/>
      <c r="F342" s="45"/>
      <c r="G342" s="69"/>
      <c r="H342" s="45"/>
      <c r="I342" s="45"/>
      <c r="J342" s="69"/>
      <c r="K342" s="45"/>
      <c r="L342" s="45"/>
      <c r="M342" s="45"/>
      <c r="N342" s="69"/>
      <c r="O342" s="45"/>
      <c r="P342" s="45"/>
      <c r="Q342" s="69"/>
      <c r="R342" s="45"/>
      <c r="S342" s="45"/>
      <c r="T342" s="69"/>
      <c r="U342" s="45"/>
      <c r="V342" s="45"/>
      <c r="W342" s="45"/>
      <c r="X342" s="45"/>
      <c r="Y342" s="69"/>
      <c r="Z342" s="45"/>
      <c r="AA342" s="45"/>
      <c r="AB342" s="70"/>
      <c r="AC342" s="70"/>
      <c r="AD342" s="70"/>
      <c r="AE342" s="70"/>
      <c r="AF342" s="45"/>
      <c r="AG342" s="71"/>
      <c r="AH342" s="71"/>
      <c r="AI342" s="45"/>
      <c r="AJ342" s="45"/>
      <c r="AK342" s="45"/>
      <c r="AL342" s="45"/>
      <c r="AM342" s="45"/>
      <c r="AN342" s="45"/>
    </row>
    <row r="343">
      <c r="A343" s="45"/>
      <c r="B343" s="45"/>
      <c r="C343" s="45"/>
      <c r="D343" s="45"/>
      <c r="E343" s="45"/>
      <c r="F343" s="45"/>
      <c r="G343" s="69"/>
      <c r="H343" s="45"/>
      <c r="I343" s="45"/>
      <c r="J343" s="69"/>
      <c r="K343" s="45"/>
      <c r="L343" s="45"/>
      <c r="M343" s="45"/>
      <c r="N343" s="69"/>
      <c r="O343" s="45"/>
      <c r="P343" s="45"/>
      <c r="Q343" s="69"/>
      <c r="R343" s="45"/>
      <c r="S343" s="45"/>
      <c r="T343" s="69"/>
      <c r="U343" s="45"/>
      <c r="V343" s="45"/>
      <c r="W343" s="45"/>
      <c r="X343" s="45"/>
      <c r="Y343" s="69"/>
      <c r="Z343" s="45"/>
      <c r="AA343" s="45"/>
      <c r="AB343" s="70"/>
      <c r="AC343" s="70"/>
      <c r="AD343" s="70"/>
      <c r="AE343" s="70"/>
      <c r="AF343" s="45"/>
      <c r="AG343" s="71"/>
      <c r="AH343" s="71"/>
      <c r="AI343" s="45"/>
      <c r="AJ343" s="45"/>
      <c r="AK343" s="45"/>
      <c r="AL343" s="45"/>
      <c r="AM343" s="45"/>
      <c r="AN343" s="45"/>
    </row>
    <row r="344">
      <c r="A344" s="45"/>
      <c r="B344" s="45"/>
      <c r="C344" s="45"/>
      <c r="D344" s="45"/>
      <c r="E344" s="45"/>
      <c r="F344" s="45"/>
      <c r="G344" s="69"/>
      <c r="H344" s="45"/>
      <c r="I344" s="45"/>
      <c r="J344" s="69"/>
      <c r="K344" s="45"/>
      <c r="L344" s="45"/>
      <c r="M344" s="45"/>
      <c r="N344" s="69"/>
      <c r="O344" s="45"/>
      <c r="P344" s="45"/>
      <c r="Q344" s="69"/>
      <c r="R344" s="45"/>
      <c r="S344" s="45"/>
      <c r="T344" s="69"/>
      <c r="U344" s="45"/>
      <c r="V344" s="45"/>
      <c r="W344" s="45"/>
      <c r="X344" s="45"/>
      <c r="Y344" s="69"/>
      <c r="Z344" s="45"/>
      <c r="AA344" s="45"/>
      <c r="AB344" s="70"/>
      <c r="AC344" s="70"/>
      <c r="AD344" s="70"/>
      <c r="AE344" s="70"/>
      <c r="AF344" s="45"/>
      <c r="AG344" s="71"/>
      <c r="AH344" s="71"/>
      <c r="AI344" s="45"/>
      <c r="AJ344" s="45"/>
      <c r="AK344" s="45"/>
      <c r="AL344" s="45"/>
      <c r="AM344" s="45"/>
      <c r="AN344" s="45"/>
    </row>
    <row r="345">
      <c r="A345" s="45"/>
      <c r="B345" s="45"/>
      <c r="C345" s="45"/>
      <c r="D345" s="45"/>
      <c r="E345" s="45"/>
      <c r="F345" s="45"/>
      <c r="G345" s="69"/>
      <c r="H345" s="45"/>
      <c r="I345" s="45"/>
      <c r="J345" s="69"/>
      <c r="K345" s="45"/>
      <c r="L345" s="45"/>
      <c r="M345" s="45"/>
      <c r="N345" s="69"/>
      <c r="O345" s="45"/>
      <c r="P345" s="45"/>
      <c r="Q345" s="69"/>
      <c r="R345" s="45"/>
      <c r="S345" s="45"/>
      <c r="T345" s="69"/>
      <c r="U345" s="45"/>
      <c r="V345" s="45"/>
      <c r="W345" s="45"/>
      <c r="X345" s="45"/>
      <c r="Y345" s="69"/>
      <c r="Z345" s="45"/>
      <c r="AA345" s="45"/>
      <c r="AB345" s="70"/>
      <c r="AC345" s="70"/>
      <c r="AD345" s="70"/>
      <c r="AE345" s="70"/>
      <c r="AF345" s="45"/>
      <c r="AG345" s="71"/>
      <c r="AH345" s="71"/>
      <c r="AI345" s="45"/>
      <c r="AJ345" s="45"/>
      <c r="AK345" s="45"/>
      <c r="AL345" s="45"/>
      <c r="AM345" s="45"/>
      <c r="AN345" s="45"/>
    </row>
    <row r="346">
      <c r="A346" s="45"/>
      <c r="B346" s="45"/>
      <c r="C346" s="45"/>
      <c r="D346" s="45"/>
      <c r="E346" s="45"/>
      <c r="F346" s="45"/>
      <c r="G346" s="69"/>
      <c r="H346" s="45"/>
      <c r="I346" s="45"/>
      <c r="J346" s="69"/>
      <c r="K346" s="45"/>
      <c r="L346" s="45"/>
      <c r="M346" s="45"/>
      <c r="N346" s="69"/>
      <c r="O346" s="45"/>
      <c r="P346" s="45"/>
      <c r="Q346" s="69"/>
      <c r="R346" s="45"/>
      <c r="S346" s="45"/>
      <c r="T346" s="69"/>
      <c r="U346" s="45"/>
      <c r="V346" s="45"/>
      <c r="W346" s="45"/>
      <c r="X346" s="45"/>
      <c r="Y346" s="69"/>
      <c r="Z346" s="45"/>
      <c r="AA346" s="45"/>
      <c r="AB346" s="70"/>
      <c r="AC346" s="70"/>
      <c r="AD346" s="70"/>
      <c r="AE346" s="70"/>
      <c r="AF346" s="45"/>
      <c r="AG346" s="71"/>
      <c r="AH346" s="71"/>
      <c r="AI346" s="45"/>
      <c r="AJ346" s="45"/>
      <c r="AK346" s="45"/>
      <c r="AL346" s="45"/>
      <c r="AM346" s="45"/>
      <c r="AN346" s="45"/>
    </row>
    <row r="347">
      <c r="A347" s="45"/>
      <c r="B347" s="45"/>
      <c r="C347" s="45"/>
      <c r="D347" s="45"/>
      <c r="E347" s="45"/>
      <c r="F347" s="45"/>
      <c r="G347" s="69"/>
      <c r="H347" s="45"/>
      <c r="I347" s="45"/>
      <c r="J347" s="69"/>
      <c r="K347" s="45"/>
      <c r="L347" s="45"/>
      <c r="M347" s="45"/>
      <c r="N347" s="69"/>
      <c r="O347" s="45"/>
      <c r="P347" s="45"/>
      <c r="Q347" s="69"/>
      <c r="R347" s="45"/>
      <c r="S347" s="45"/>
      <c r="T347" s="69"/>
      <c r="U347" s="45"/>
      <c r="V347" s="45"/>
      <c r="W347" s="45"/>
      <c r="X347" s="45"/>
      <c r="Y347" s="69"/>
      <c r="Z347" s="45"/>
      <c r="AA347" s="45"/>
      <c r="AB347" s="70"/>
      <c r="AC347" s="70"/>
      <c r="AD347" s="70"/>
      <c r="AE347" s="70"/>
      <c r="AF347" s="45"/>
      <c r="AG347" s="71"/>
      <c r="AH347" s="71"/>
      <c r="AI347" s="45"/>
      <c r="AJ347" s="45"/>
      <c r="AK347" s="45"/>
      <c r="AL347" s="45"/>
      <c r="AM347" s="45"/>
      <c r="AN347" s="45"/>
    </row>
    <row r="348">
      <c r="A348" s="45"/>
      <c r="B348" s="45"/>
      <c r="C348" s="45"/>
      <c r="D348" s="45"/>
      <c r="E348" s="45"/>
      <c r="F348" s="45"/>
      <c r="G348" s="69"/>
      <c r="H348" s="45"/>
      <c r="I348" s="45"/>
      <c r="J348" s="69"/>
      <c r="K348" s="45"/>
      <c r="L348" s="45"/>
      <c r="M348" s="45"/>
      <c r="N348" s="69"/>
      <c r="O348" s="45"/>
      <c r="P348" s="45"/>
      <c r="Q348" s="69"/>
      <c r="R348" s="45"/>
      <c r="S348" s="45"/>
      <c r="T348" s="69"/>
      <c r="U348" s="45"/>
      <c r="V348" s="45"/>
      <c r="W348" s="45"/>
      <c r="X348" s="45"/>
      <c r="Y348" s="69"/>
      <c r="Z348" s="45"/>
      <c r="AA348" s="45"/>
      <c r="AB348" s="70"/>
      <c r="AC348" s="70"/>
      <c r="AD348" s="70"/>
      <c r="AE348" s="70"/>
      <c r="AF348" s="45"/>
      <c r="AG348" s="71"/>
      <c r="AH348" s="71"/>
      <c r="AI348" s="45"/>
      <c r="AJ348" s="45"/>
      <c r="AK348" s="45"/>
      <c r="AL348" s="45"/>
      <c r="AM348" s="45"/>
      <c r="AN348" s="45"/>
    </row>
    <row r="349">
      <c r="A349" s="45"/>
      <c r="B349" s="45"/>
      <c r="C349" s="45"/>
      <c r="D349" s="45"/>
      <c r="E349" s="45"/>
      <c r="F349" s="45"/>
      <c r="G349" s="69"/>
      <c r="H349" s="45"/>
      <c r="I349" s="45"/>
      <c r="J349" s="69"/>
      <c r="K349" s="45"/>
      <c r="L349" s="45"/>
      <c r="M349" s="45"/>
      <c r="N349" s="69"/>
      <c r="O349" s="45"/>
      <c r="P349" s="45"/>
      <c r="Q349" s="69"/>
      <c r="R349" s="45"/>
      <c r="S349" s="45"/>
      <c r="T349" s="69"/>
      <c r="U349" s="45"/>
      <c r="V349" s="45"/>
      <c r="W349" s="45"/>
      <c r="X349" s="45"/>
      <c r="Y349" s="69"/>
      <c r="Z349" s="45"/>
      <c r="AA349" s="45"/>
      <c r="AB349" s="70"/>
      <c r="AC349" s="70"/>
      <c r="AD349" s="70"/>
      <c r="AE349" s="70"/>
      <c r="AF349" s="45"/>
      <c r="AG349" s="71"/>
      <c r="AH349" s="71"/>
      <c r="AI349" s="45"/>
      <c r="AJ349" s="45"/>
      <c r="AK349" s="45"/>
      <c r="AL349" s="45"/>
      <c r="AM349" s="45"/>
      <c r="AN349" s="45"/>
    </row>
    <row r="350">
      <c r="A350" s="45"/>
      <c r="B350" s="45"/>
      <c r="C350" s="45"/>
      <c r="D350" s="45"/>
      <c r="E350" s="45"/>
      <c r="F350" s="45"/>
      <c r="G350" s="69"/>
      <c r="H350" s="45"/>
      <c r="I350" s="45"/>
      <c r="J350" s="69"/>
      <c r="K350" s="45"/>
      <c r="L350" s="45"/>
      <c r="M350" s="45"/>
      <c r="N350" s="69"/>
      <c r="O350" s="45"/>
      <c r="P350" s="45"/>
      <c r="Q350" s="69"/>
      <c r="R350" s="45"/>
      <c r="S350" s="45"/>
      <c r="T350" s="69"/>
      <c r="U350" s="45"/>
      <c r="V350" s="45"/>
      <c r="W350" s="45"/>
      <c r="X350" s="45"/>
      <c r="Y350" s="69"/>
      <c r="Z350" s="45"/>
      <c r="AA350" s="45"/>
      <c r="AB350" s="70"/>
      <c r="AC350" s="70"/>
      <c r="AD350" s="70"/>
      <c r="AE350" s="70"/>
      <c r="AF350" s="45"/>
      <c r="AG350" s="71"/>
      <c r="AH350" s="71"/>
      <c r="AI350" s="45"/>
      <c r="AJ350" s="45"/>
      <c r="AK350" s="45"/>
      <c r="AL350" s="45"/>
      <c r="AM350" s="45"/>
      <c r="AN350" s="45"/>
    </row>
    <row r="351">
      <c r="A351" s="45"/>
      <c r="B351" s="45"/>
      <c r="C351" s="45"/>
      <c r="D351" s="45"/>
      <c r="E351" s="45"/>
      <c r="F351" s="45"/>
      <c r="G351" s="69"/>
      <c r="H351" s="45"/>
      <c r="I351" s="45"/>
      <c r="J351" s="69"/>
      <c r="K351" s="45"/>
      <c r="L351" s="45"/>
      <c r="M351" s="45"/>
      <c r="N351" s="69"/>
      <c r="O351" s="45"/>
      <c r="P351" s="45"/>
      <c r="Q351" s="69"/>
      <c r="R351" s="45"/>
      <c r="S351" s="45"/>
      <c r="T351" s="69"/>
      <c r="U351" s="45"/>
      <c r="V351" s="45"/>
      <c r="W351" s="45"/>
      <c r="X351" s="45"/>
      <c r="Y351" s="69"/>
      <c r="Z351" s="45"/>
      <c r="AA351" s="45"/>
      <c r="AB351" s="70"/>
      <c r="AC351" s="70"/>
      <c r="AD351" s="70"/>
      <c r="AE351" s="70"/>
      <c r="AF351" s="45"/>
      <c r="AG351" s="71"/>
      <c r="AH351" s="71"/>
      <c r="AI351" s="45"/>
      <c r="AJ351" s="45"/>
      <c r="AK351" s="45"/>
      <c r="AL351" s="45"/>
      <c r="AM351" s="45"/>
      <c r="AN351" s="45"/>
    </row>
    <row r="352">
      <c r="A352" s="45"/>
      <c r="B352" s="45"/>
      <c r="C352" s="45"/>
      <c r="D352" s="45"/>
      <c r="E352" s="45"/>
      <c r="F352" s="45"/>
      <c r="G352" s="69"/>
      <c r="H352" s="45"/>
      <c r="I352" s="45"/>
      <c r="J352" s="69"/>
      <c r="K352" s="45"/>
      <c r="L352" s="45"/>
      <c r="M352" s="45"/>
      <c r="N352" s="69"/>
      <c r="O352" s="45"/>
      <c r="P352" s="45"/>
      <c r="Q352" s="69"/>
      <c r="R352" s="45"/>
      <c r="S352" s="45"/>
      <c r="T352" s="69"/>
      <c r="U352" s="45"/>
      <c r="V352" s="45"/>
      <c r="W352" s="45"/>
      <c r="X352" s="45"/>
      <c r="Y352" s="69"/>
      <c r="Z352" s="45"/>
      <c r="AA352" s="45"/>
      <c r="AB352" s="70"/>
      <c r="AC352" s="70"/>
      <c r="AD352" s="70"/>
      <c r="AE352" s="70"/>
      <c r="AF352" s="45"/>
      <c r="AG352" s="71"/>
      <c r="AH352" s="71"/>
      <c r="AI352" s="45"/>
      <c r="AJ352" s="45"/>
      <c r="AK352" s="45"/>
      <c r="AL352" s="45"/>
      <c r="AM352" s="45"/>
      <c r="AN352" s="45"/>
    </row>
    <row r="353">
      <c r="A353" s="45"/>
      <c r="B353" s="45"/>
      <c r="C353" s="45"/>
      <c r="D353" s="45"/>
      <c r="E353" s="45"/>
      <c r="F353" s="45"/>
      <c r="G353" s="69"/>
      <c r="H353" s="45"/>
      <c r="I353" s="45"/>
      <c r="J353" s="69"/>
      <c r="K353" s="45"/>
      <c r="L353" s="45"/>
      <c r="M353" s="45"/>
      <c r="N353" s="69"/>
      <c r="O353" s="45"/>
      <c r="P353" s="45"/>
      <c r="Q353" s="69"/>
      <c r="R353" s="45"/>
      <c r="S353" s="45"/>
      <c r="T353" s="69"/>
      <c r="U353" s="45"/>
      <c r="V353" s="45"/>
      <c r="W353" s="45"/>
      <c r="X353" s="45"/>
      <c r="Y353" s="69"/>
      <c r="Z353" s="45"/>
      <c r="AA353" s="45"/>
      <c r="AB353" s="70"/>
      <c r="AC353" s="70"/>
      <c r="AD353" s="70"/>
      <c r="AE353" s="70"/>
      <c r="AF353" s="45"/>
      <c r="AG353" s="71"/>
      <c r="AH353" s="71"/>
      <c r="AI353" s="45"/>
      <c r="AJ353" s="45"/>
      <c r="AK353" s="45"/>
      <c r="AL353" s="45"/>
      <c r="AM353" s="45"/>
      <c r="AN353" s="45"/>
    </row>
    <row r="354">
      <c r="A354" s="45"/>
      <c r="B354" s="45"/>
      <c r="C354" s="45"/>
      <c r="D354" s="45"/>
      <c r="E354" s="45"/>
      <c r="F354" s="45"/>
      <c r="G354" s="69"/>
      <c r="H354" s="45"/>
      <c r="I354" s="45"/>
      <c r="J354" s="69"/>
      <c r="K354" s="45"/>
      <c r="L354" s="45"/>
      <c r="M354" s="45"/>
      <c r="N354" s="69"/>
      <c r="O354" s="45"/>
      <c r="P354" s="45"/>
      <c r="Q354" s="69"/>
      <c r="R354" s="45"/>
      <c r="S354" s="45"/>
      <c r="T354" s="69"/>
      <c r="U354" s="45"/>
      <c r="V354" s="45"/>
      <c r="W354" s="45"/>
      <c r="X354" s="45"/>
      <c r="Y354" s="69"/>
      <c r="Z354" s="45"/>
      <c r="AA354" s="45"/>
      <c r="AB354" s="70"/>
      <c r="AC354" s="70"/>
      <c r="AD354" s="70"/>
      <c r="AE354" s="70"/>
      <c r="AF354" s="45"/>
      <c r="AG354" s="71"/>
      <c r="AH354" s="71"/>
      <c r="AI354" s="45"/>
      <c r="AJ354" s="45"/>
      <c r="AK354" s="45"/>
      <c r="AL354" s="45"/>
      <c r="AM354" s="45"/>
      <c r="AN354" s="45"/>
    </row>
    <row r="355">
      <c r="A355" s="45"/>
      <c r="B355" s="45"/>
      <c r="C355" s="45"/>
      <c r="D355" s="45"/>
      <c r="E355" s="45"/>
      <c r="F355" s="45"/>
      <c r="G355" s="69"/>
      <c r="H355" s="45"/>
      <c r="I355" s="45"/>
      <c r="J355" s="69"/>
      <c r="K355" s="45"/>
      <c r="L355" s="45"/>
      <c r="M355" s="45"/>
      <c r="N355" s="69"/>
      <c r="O355" s="45"/>
      <c r="P355" s="45"/>
      <c r="Q355" s="69"/>
      <c r="R355" s="45"/>
      <c r="S355" s="45"/>
      <c r="T355" s="69"/>
      <c r="U355" s="45"/>
      <c r="V355" s="45"/>
      <c r="W355" s="45"/>
      <c r="X355" s="45"/>
      <c r="Y355" s="69"/>
      <c r="Z355" s="45"/>
      <c r="AA355" s="45"/>
      <c r="AB355" s="70"/>
      <c r="AC355" s="70"/>
      <c r="AD355" s="70"/>
      <c r="AE355" s="70"/>
      <c r="AF355" s="45"/>
      <c r="AG355" s="71"/>
      <c r="AH355" s="71"/>
      <c r="AI355" s="45"/>
      <c r="AJ355" s="45"/>
      <c r="AK355" s="45"/>
      <c r="AL355" s="45"/>
      <c r="AM355" s="45"/>
      <c r="AN355" s="45"/>
    </row>
    <row r="356">
      <c r="A356" s="45"/>
      <c r="B356" s="45"/>
      <c r="C356" s="45"/>
      <c r="D356" s="45"/>
      <c r="E356" s="45"/>
      <c r="F356" s="45"/>
      <c r="G356" s="69"/>
      <c r="H356" s="45"/>
      <c r="I356" s="45"/>
      <c r="J356" s="69"/>
      <c r="K356" s="45"/>
      <c r="L356" s="45"/>
      <c r="M356" s="45"/>
      <c r="N356" s="69"/>
      <c r="O356" s="45"/>
      <c r="P356" s="45"/>
      <c r="Q356" s="69"/>
      <c r="R356" s="45"/>
      <c r="S356" s="45"/>
      <c r="T356" s="69"/>
      <c r="U356" s="45"/>
      <c r="V356" s="45"/>
      <c r="W356" s="45"/>
      <c r="X356" s="45"/>
      <c r="Y356" s="69"/>
      <c r="Z356" s="45"/>
      <c r="AA356" s="45"/>
      <c r="AB356" s="70"/>
      <c r="AC356" s="70"/>
      <c r="AD356" s="70"/>
      <c r="AE356" s="70"/>
      <c r="AF356" s="45"/>
      <c r="AG356" s="71"/>
      <c r="AH356" s="71"/>
      <c r="AI356" s="45"/>
      <c r="AJ356" s="45"/>
      <c r="AK356" s="45"/>
      <c r="AL356" s="45"/>
      <c r="AM356" s="45"/>
      <c r="AN356" s="45"/>
    </row>
    <row r="357">
      <c r="A357" s="45"/>
      <c r="B357" s="45"/>
      <c r="C357" s="45"/>
      <c r="D357" s="45"/>
      <c r="E357" s="45"/>
      <c r="F357" s="45"/>
      <c r="G357" s="69"/>
      <c r="H357" s="45"/>
      <c r="I357" s="45"/>
      <c r="J357" s="69"/>
      <c r="K357" s="45"/>
      <c r="L357" s="45"/>
      <c r="M357" s="45"/>
      <c r="N357" s="69"/>
      <c r="O357" s="45"/>
      <c r="P357" s="45"/>
      <c r="Q357" s="69"/>
      <c r="R357" s="45"/>
      <c r="S357" s="45"/>
      <c r="T357" s="69"/>
      <c r="U357" s="45"/>
      <c r="V357" s="45"/>
      <c r="W357" s="45"/>
      <c r="X357" s="45"/>
      <c r="Y357" s="69"/>
      <c r="Z357" s="45"/>
      <c r="AA357" s="45"/>
      <c r="AB357" s="70"/>
      <c r="AC357" s="70"/>
      <c r="AD357" s="70"/>
      <c r="AE357" s="70"/>
      <c r="AF357" s="45"/>
      <c r="AG357" s="71"/>
      <c r="AH357" s="71"/>
      <c r="AI357" s="45"/>
      <c r="AJ357" s="45"/>
      <c r="AK357" s="45"/>
      <c r="AL357" s="45"/>
      <c r="AM357" s="45"/>
      <c r="AN357" s="45"/>
    </row>
    <row r="358">
      <c r="A358" s="45"/>
      <c r="B358" s="45"/>
      <c r="C358" s="45"/>
      <c r="D358" s="45"/>
      <c r="E358" s="45"/>
      <c r="F358" s="45"/>
      <c r="G358" s="69"/>
      <c r="H358" s="45"/>
      <c r="I358" s="45"/>
      <c r="J358" s="69"/>
      <c r="K358" s="45"/>
      <c r="L358" s="45"/>
      <c r="M358" s="45"/>
      <c r="N358" s="69"/>
      <c r="O358" s="45"/>
      <c r="P358" s="45"/>
      <c r="Q358" s="69"/>
      <c r="R358" s="45"/>
      <c r="S358" s="45"/>
      <c r="T358" s="69"/>
      <c r="U358" s="45"/>
      <c r="V358" s="45"/>
      <c r="W358" s="45"/>
      <c r="X358" s="45"/>
      <c r="Y358" s="69"/>
      <c r="Z358" s="45"/>
      <c r="AA358" s="45"/>
      <c r="AB358" s="70"/>
      <c r="AC358" s="70"/>
      <c r="AD358" s="70"/>
      <c r="AE358" s="70"/>
      <c r="AF358" s="45"/>
      <c r="AG358" s="71"/>
      <c r="AH358" s="71"/>
      <c r="AI358" s="45"/>
      <c r="AJ358" s="45"/>
      <c r="AK358" s="45"/>
      <c r="AL358" s="45"/>
      <c r="AM358" s="45"/>
      <c r="AN358" s="45"/>
    </row>
    <row r="359">
      <c r="A359" s="45"/>
      <c r="B359" s="45"/>
      <c r="C359" s="45"/>
      <c r="D359" s="45"/>
      <c r="E359" s="45"/>
      <c r="F359" s="45"/>
      <c r="G359" s="69"/>
      <c r="H359" s="45"/>
      <c r="I359" s="45"/>
      <c r="J359" s="69"/>
      <c r="K359" s="45"/>
      <c r="L359" s="45"/>
      <c r="M359" s="45"/>
      <c r="N359" s="69"/>
      <c r="O359" s="45"/>
      <c r="P359" s="45"/>
      <c r="Q359" s="69"/>
      <c r="R359" s="45"/>
      <c r="S359" s="45"/>
      <c r="T359" s="69"/>
      <c r="U359" s="45"/>
      <c r="V359" s="45"/>
      <c r="W359" s="45"/>
      <c r="X359" s="45"/>
      <c r="Y359" s="69"/>
      <c r="Z359" s="45"/>
      <c r="AA359" s="45"/>
      <c r="AB359" s="70"/>
      <c r="AC359" s="70"/>
      <c r="AD359" s="70"/>
      <c r="AE359" s="70"/>
      <c r="AF359" s="45"/>
      <c r="AG359" s="71"/>
      <c r="AH359" s="71"/>
      <c r="AI359" s="45"/>
      <c r="AJ359" s="45"/>
      <c r="AK359" s="45"/>
      <c r="AL359" s="45"/>
      <c r="AM359" s="45"/>
      <c r="AN359" s="45"/>
    </row>
    <row r="360">
      <c r="A360" s="45"/>
      <c r="B360" s="45"/>
      <c r="C360" s="45"/>
      <c r="D360" s="45"/>
      <c r="E360" s="45"/>
      <c r="F360" s="45"/>
      <c r="G360" s="69"/>
      <c r="H360" s="45"/>
      <c r="I360" s="45"/>
      <c r="J360" s="69"/>
      <c r="K360" s="45"/>
      <c r="L360" s="45"/>
      <c r="M360" s="45"/>
      <c r="N360" s="69"/>
      <c r="O360" s="45"/>
      <c r="P360" s="45"/>
      <c r="Q360" s="69"/>
      <c r="R360" s="45"/>
      <c r="S360" s="45"/>
      <c r="T360" s="69"/>
      <c r="U360" s="45"/>
      <c r="V360" s="45"/>
      <c r="W360" s="45"/>
      <c r="X360" s="45"/>
      <c r="Y360" s="69"/>
      <c r="Z360" s="45"/>
      <c r="AA360" s="45"/>
      <c r="AB360" s="70"/>
      <c r="AC360" s="70"/>
      <c r="AD360" s="70"/>
      <c r="AE360" s="70"/>
      <c r="AF360" s="45"/>
      <c r="AG360" s="71"/>
      <c r="AH360" s="71"/>
      <c r="AI360" s="45"/>
      <c r="AJ360" s="45"/>
      <c r="AK360" s="45"/>
      <c r="AL360" s="45"/>
      <c r="AM360" s="45"/>
      <c r="AN360" s="45"/>
    </row>
    <row r="361">
      <c r="A361" s="45"/>
      <c r="B361" s="45"/>
      <c r="C361" s="45"/>
      <c r="D361" s="45"/>
      <c r="E361" s="45"/>
      <c r="F361" s="45"/>
      <c r="G361" s="69"/>
      <c r="H361" s="45"/>
      <c r="I361" s="45"/>
      <c r="J361" s="69"/>
      <c r="K361" s="45"/>
      <c r="L361" s="45"/>
      <c r="M361" s="45"/>
      <c r="N361" s="69"/>
      <c r="O361" s="45"/>
      <c r="P361" s="45"/>
      <c r="Q361" s="69"/>
      <c r="R361" s="45"/>
      <c r="S361" s="45"/>
      <c r="T361" s="69"/>
      <c r="U361" s="45"/>
      <c r="V361" s="45"/>
      <c r="W361" s="45"/>
      <c r="X361" s="45"/>
      <c r="Y361" s="69"/>
      <c r="Z361" s="45"/>
      <c r="AA361" s="45"/>
      <c r="AB361" s="70"/>
      <c r="AC361" s="70"/>
      <c r="AD361" s="70"/>
      <c r="AE361" s="70"/>
      <c r="AF361" s="45"/>
      <c r="AG361" s="71"/>
      <c r="AH361" s="71"/>
      <c r="AI361" s="45"/>
      <c r="AJ361" s="45"/>
      <c r="AK361" s="45"/>
      <c r="AL361" s="45"/>
      <c r="AM361" s="45"/>
      <c r="AN361" s="45"/>
    </row>
    <row r="362">
      <c r="A362" s="45"/>
      <c r="B362" s="45"/>
      <c r="C362" s="45"/>
      <c r="D362" s="45"/>
      <c r="E362" s="45"/>
      <c r="F362" s="45"/>
      <c r="G362" s="69"/>
      <c r="H362" s="45"/>
      <c r="I362" s="45"/>
      <c r="J362" s="69"/>
      <c r="K362" s="45"/>
      <c r="L362" s="45"/>
      <c r="M362" s="45"/>
      <c r="N362" s="69"/>
      <c r="O362" s="45"/>
      <c r="P362" s="45"/>
      <c r="Q362" s="69"/>
      <c r="R362" s="45"/>
      <c r="S362" s="45"/>
      <c r="T362" s="69"/>
      <c r="U362" s="45"/>
      <c r="V362" s="45"/>
      <c r="W362" s="45"/>
      <c r="X362" s="45"/>
      <c r="Y362" s="69"/>
      <c r="Z362" s="45"/>
      <c r="AA362" s="45"/>
      <c r="AB362" s="70"/>
      <c r="AC362" s="70"/>
      <c r="AD362" s="70"/>
      <c r="AE362" s="70"/>
      <c r="AF362" s="45"/>
      <c r="AG362" s="71"/>
      <c r="AH362" s="71"/>
      <c r="AI362" s="45"/>
      <c r="AJ362" s="45"/>
      <c r="AK362" s="45"/>
      <c r="AL362" s="45"/>
      <c r="AM362" s="45"/>
      <c r="AN362" s="45"/>
    </row>
    <row r="363">
      <c r="A363" s="45"/>
      <c r="B363" s="45"/>
      <c r="C363" s="45"/>
      <c r="D363" s="45"/>
      <c r="E363" s="45"/>
      <c r="F363" s="45"/>
      <c r="G363" s="69"/>
      <c r="H363" s="45"/>
      <c r="I363" s="45"/>
      <c r="J363" s="69"/>
      <c r="K363" s="45"/>
      <c r="L363" s="45"/>
      <c r="M363" s="45"/>
      <c r="N363" s="69"/>
      <c r="O363" s="45"/>
      <c r="P363" s="45"/>
      <c r="Q363" s="69"/>
      <c r="R363" s="45"/>
      <c r="S363" s="45"/>
      <c r="T363" s="69"/>
      <c r="U363" s="45"/>
      <c r="V363" s="45"/>
      <c r="W363" s="45"/>
      <c r="X363" s="45"/>
      <c r="Y363" s="69"/>
      <c r="Z363" s="45"/>
      <c r="AA363" s="45"/>
      <c r="AB363" s="70"/>
      <c r="AC363" s="70"/>
      <c r="AD363" s="70"/>
      <c r="AE363" s="70"/>
      <c r="AF363" s="45"/>
      <c r="AG363" s="71"/>
      <c r="AH363" s="71"/>
      <c r="AI363" s="45"/>
      <c r="AJ363" s="45"/>
      <c r="AK363" s="45"/>
      <c r="AL363" s="45"/>
      <c r="AM363" s="45"/>
      <c r="AN363" s="45"/>
    </row>
    <row r="364">
      <c r="A364" s="45"/>
      <c r="B364" s="45"/>
      <c r="C364" s="45"/>
      <c r="D364" s="45"/>
      <c r="E364" s="45"/>
      <c r="F364" s="45"/>
      <c r="G364" s="69"/>
      <c r="H364" s="45"/>
      <c r="I364" s="45"/>
      <c r="J364" s="69"/>
      <c r="K364" s="45"/>
      <c r="L364" s="45"/>
      <c r="M364" s="45"/>
      <c r="N364" s="69"/>
      <c r="O364" s="45"/>
      <c r="P364" s="45"/>
      <c r="Q364" s="69"/>
      <c r="R364" s="45"/>
      <c r="S364" s="45"/>
      <c r="T364" s="69"/>
      <c r="U364" s="45"/>
      <c r="V364" s="45"/>
      <c r="W364" s="45"/>
      <c r="X364" s="45"/>
      <c r="Y364" s="69"/>
      <c r="Z364" s="45"/>
      <c r="AA364" s="45"/>
      <c r="AB364" s="70"/>
      <c r="AC364" s="70"/>
      <c r="AD364" s="70"/>
      <c r="AE364" s="70"/>
      <c r="AF364" s="45"/>
      <c r="AG364" s="71"/>
      <c r="AH364" s="71"/>
      <c r="AI364" s="45"/>
      <c r="AJ364" s="45"/>
      <c r="AK364" s="45"/>
      <c r="AL364" s="45"/>
      <c r="AM364" s="45"/>
      <c r="AN364" s="45"/>
    </row>
    <row r="365">
      <c r="A365" s="45"/>
      <c r="B365" s="45"/>
      <c r="C365" s="45"/>
      <c r="D365" s="45"/>
      <c r="E365" s="45"/>
      <c r="F365" s="45"/>
      <c r="G365" s="69"/>
      <c r="H365" s="45"/>
      <c r="I365" s="45"/>
      <c r="J365" s="69"/>
      <c r="K365" s="45"/>
      <c r="L365" s="45"/>
      <c r="M365" s="45"/>
      <c r="N365" s="69"/>
      <c r="O365" s="45"/>
      <c r="P365" s="45"/>
      <c r="Q365" s="69"/>
      <c r="R365" s="45"/>
      <c r="S365" s="45"/>
      <c r="T365" s="69"/>
      <c r="U365" s="45"/>
      <c r="V365" s="45"/>
      <c r="W365" s="45"/>
      <c r="X365" s="45"/>
      <c r="Y365" s="69"/>
      <c r="Z365" s="45"/>
      <c r="AA365" s="45"/>
      <c r="AB365" s="70"/>
      <c r="AC365" s="70"/>
      <c r="AD365" s="70"/>
      <c r="AE365" s="70"/>
      <c r="AF365" s="45"/>
      <c r="AG365" s="71"/>
      <c r="AH365" s="71"/>
      <c r="AI365" s="45"/>
      <c r="AJ365" s="45"/>
      <c r="AK365" s="45"/>
      <c r="AL365" s="45"/>
      <c r="AM365" s="45"/>
      <c r="AN365" s="45"/>
    </row>
    <row r="366">
      <c r="A366" s="45"/>
      <c r="B366" s="45"/>
      <c r="C366" s="45"/>
      <c r="D366" s="45"/>
      <c r="E366" s="45"/>
      <c r="F366" s="45"/>
      <c r="G366" s="69"/>
      <c r="H366" s="45"/>
      <c r="I366" s="45"/>
      <c r="J366" s="69"/>
      <c r="K366" s="45"/>
      <c r="L366" s="45"/>
      <c r="M366" s="45"/>
      <c r="N366" s="69"/>
      <c r="O366" s="45"/>
      <c r="P366" s="45"/>
      <c r="Q366" s="69"/>
      <c r="R366" s="45"/>
      <c r="S366" s="45"/>
      <c r="T366" s="69"/>
      <c r="U366" s="45"/>
      <c r="V366" s="45"/>
      <c r="W366" s="45"/>
      <c r="X366" s="45"/>
      <c r="Y366" s="69"/>
      <c r="Z366" s="45"/>
      <c r="AA366" s="45"/>
      <c r="AB366" s="70"/>
      <c r="AC366" s="70"/>
      <c r="AD366" s="70"/>
      <c r="AE366" s="70"/>
      <c r="AF366" s="45"/>
      <c r="AG366" s="71"/>
      <c r="AH366" s="71"/>
      <c r="AI366" s="45"/>
      <c r="AJ366" s="45"/>
      <c r="AK366" s="45"/>
      <c r="AL366" s="45"/>
      <c r="AM366" s="45"/>
      <c r="AN366" s="45"/>
    </row>
    <row r="367">
      <c r="A367" s="45"/>
      <c r="B367" s="45"/>
      <c r="C367" s="45"/>
      <c r="D367" s="45"/>
      <c r="E367" s="45"/>
      <c r="F367" s="45"/>
      <c r="G367" s="69"/>
      <c r="H367" s="45"/>
      <c r="I367" s="45"/>
      <c r="J367" s="69"/>
      <c r="K367" s="45"/>
      <c r="L367" s="45"/>
      <c r="M367" s="45"/>
      <c r="N367" s="69"/>
      <c r="O367" s="45"/>
      <c r="P367" s="45"/>
      <c r="Q367" s="69"/>
      <c r="R367" s="45"/>
      <c r="S367" s="45"/>
      <c r="T367" s="69"/>
      <c r="U367" s="45"/>
      <c r="V367" s="45"/>
      <c r="W367" s="45"/>
      <c r="X367" s="45"/>
      <c r="Y367" s="69"/>
      <c r="Z367" s="45"/>
      <c r="AA367" s="45"/>
      <c r="AB367" s="70"/>
      <c r="AC367" s="70"/>
      <c r="AD367" s="70"/>
      <c r="AE367" s="70"/>
      <c r="AF367" s="45"/>
      <c r="AG367" s="71"/>
      <c r="AH367" s="71"/>
      <c r="AI367" s="45"/>
      <c r="AJ367" s="45"/>
      <c r="AK367" s="45"/>
      <c r="AL367" s="45"/>
      <c r="AM367" s="45"/>
      <c r="AN367" s="45"/>
    </row>
    <row r="368">
      <c r="A368" s="45"/>
      <c r="B368" s="45"/>
      <c r="C368" s="45"/>
      <c r="D368" s="45"/>
      <c r="E368" s="45"/>
      <c r="F368" s="45"/>
      <c r="G368" s="69"/>
      <c r="H368" s="45"/>
      <c r="I368" s="45"/>
      <c r="J368" s="69"/>
      <c r="K368" s="45"/>
      <c r="L368" s="45"/>
      <c r="M368" s="45"/>
      <c r="N368" s="69"/>
      <c r="O368" s="45"/>
      <c r="P368" s="45"/>
      <c r="Q368" s="69"/>
      <c r="R368" s="45"/>
      <c r="S368" s="45"/>
      <c r="T368" s="69"/>
      <c r="U368" s="45"/>
      <c r="V368" s="45"/>
      <c r="W368" s="45"/>
      <c r="X368" s="45"/>
      <c r="Y368" s="69"/>
      <c r="Z368" s="45"/>
      <c r="AA368" s="45"/>
      <c r="AB368" s="70"/>
      <c r="AC368" s="70"/>
      <c r="AD368" s="70"/>
      <c r="AE368" s="70"/>
      <c r="AF368" s="45"/>
      <c r="AG368" s="71"/>
      <c r="AH368" s="71"/>
      <c r="AI368" s="45"/>
      <c r="AJ368" s="45"/>
      <c r="AK368" s="45"/>
      <c r="AL368" s="45"/>
      <c r="AM368" s="45"/>
      <c r="AN368" s="45"/>
    </row>
    <row r="369">
      <c r="A369" s="45"/>
      <c r="B369" s="45"/>
      <c r="C369" s="45"/>
      <c r="D369" s="45"/>
      <c r="E369" s="45"/>
      <c r="F369" s="45"/>
      <c r="G369" s="69"/>
      <c r="H369" s="45"/>
      <c r="I369" s="45"/>
      <c r="J369" s="69"/>
      <c r="K369" s="45"/>
      <c r="L369" s="45"/>
      <c r="M369" s="45"/>
      <c r="N369" s="69"/>
      <c r="O369" s="45"/>
      <c r="P369" s="45"/>
      <c r="Q369" s="69"/>
      <c r="R369" s="45"/>
      <c r="S369" s="45"/>
      <c r="T369" s="69"/>
      <c r="U369" s="45"/>
      <c r="V369" s="45"/>
      <c r="W369" s="45"/>
      <c r="X369" s="45"/>
      <c r="Y369" s="69"/>
      <c r="Z369" s="45"/>
      <c r="AA369" s="45"/>
      <c r="AB369" s="70"/>
      <c r="AC369" s="70"/>
      <c r="AD369" s="70"/>
      <c r="AE369" s="70"/>
      <c r="AF369" s="45"/>
      <c r="AG369" s="71"/>
      <c r="AH369" s="71"/>
      <c r="AI369" s="45"/>
      <c r="AJ369" s="45"/>
      <c r="AK369" s="45"/>
      <c r="AL369" s="45"/>
      <c r="AM369" s="45"/>
      <c r="AN369" s="45"/>
    </row>
    <row r="370">
      <c r="A370" s="45"/>
      <c r="B370" s="45"/>
      <c r="C370" s="45"/>
      <c r="D370" s="45"/>
      <c r="E370" s="45"/>
      <c r="F370" s="45"/>
      <c r="G370" s="69"/>
      <c r="H370" s="45"/>
      <c r="I370" s="45"/>
      <c r="J370" s="69"/>
      <c r="K370" s="45"/>
      <c r="L370" s="45"/>
      <c r="M370" s="45"/>
      <c r="N370" s="69"/>
      <c r="O370" s="45"/>
      <c r="P370" s="45"/>
      <c r="Q370" s="69"/>
      <c r="R370" s="45"/>
      <c r="S370" s="45"/>
      <c r="T370" s="69"/>
      <c r="U370" s="45"/>
      <c r="V370" s="45"/>
      <c r="W370" s="45"/>
      <c r="X370" s="45"/>
      <c r="Y370" s="69"/>
      <c r="Z370" s="45"/>
      <c r="AA370" s="45"/>
      <c r="AB370" s="70"/>
      <c r="AC370" s="70"/>
      <c r="AD370" s="70"/>
      <c r="AE370" s="70"/>
      <c r="AF370" s="45"/>
      <c r="AG370" s="71"/>
      <c r="AH370" s="71"/>
      <c r="AI370" s="45"/>
      <c r="AJ370" s="45"/>
      <c r="AK370" s="45"/>
      <c r="AL370" s="45"/>
      <c r="AM370" s="45"/>
      <c r="AN370" s="45"/>
    </row>
    <row r="371">
      <c r="A371" s="45"/>
      <c r="B371" s="45"/>
      <c r="C371" s="45"/>
      <c r="D371" s="45"/>
      <c r="E371" s="45"/>
      <c r="F371" s="45"/>
      <c r="G371" s="69"/>
      <c r="H371" s="45"/>
      <c r="I371" s="45"/>
      <c r="J371" s="69"/>
      <c r="K371" s="45"/>
      <c r="L371" s="45"/>
      <c r="M371" s="45"/>
      <c r="N371" s="69"/>
      <c r="O371" s="45"/>
      <c r="P371" s="45"/>
      <c r="Q371" s="69"/>
      <c r="R371" s="45"/>
      <c r="S371" s="45"/>
      <c r="T371" s="69"/>
      <c r="U371" s="45"/>
      <c r="V371" s="45"/>
      <c r="W371" s="45"/>
      <c r="X371" s="45"/>
      <c r="Y371" s="69"/>
      <c r="Z371" s="45"/>
      <c r="AA371" s="45"/>
      <c r="AB371" s="70"/>
      <c r="AC371" s="70"/>
      <c r="AD371" s="70"/>
      <c r="AE371" s="70"/>
      <c r="AF371" s="45"/>
      <c r="AG371" s="71"/>
      <c r="AH371" s="71"/>
      <c r="AI371" s="45"/>
      <c r="AJ371" s="45"/>
      <c r="AK371" s="45"/>
      <c r="AL371" s="45"/>
      <c r="AM371" s="45"/>
      <c r="AN371" s="45"/>
    </row>
    <row r="372">
      <c r="A372" s="45"/>
      <c r="B372" s="45"/>
      <c r="C372" s="45"/>
      <c r="D372" s="45"/>
      <c r="E372" s="45"/>
      <c r="F372" s="45"/>
      <c r="G372" s="69"/>
      <c r="H372" s="45"/>
      <c r="I372" s="45"/>
      <c r="J372" s="69"/>
      <c r="K372" s="45"/>
      <c r="L372" s="45"/>
      <c r="M372" s="45"/>
      <c r="N372" s="69"/>
      <c r="O372" s="45"/>
      <c r="P372" s="45"/>
      <c r="Q372" s="69"/>
      <c r="R372" s="45"/>
      <c r="S372" s="45"/>
      <c r="T372" s="69"/>
      <c r="U372" s="45"/>
      <c r="V372" s="45"/>
      <c r="W372" s="45"/>
      <c r="X372" s="45"/>
      <c r="Y372" s="69"/>
      <c r="Z372" s="45"/>
      <c r="AA372" s="45"/>
      <c r="AB372" s="70"/>
      <c r="AC372" s="70"/>
      <c r="AD372" s="70"/>
      <c r="AE372" s="70"/>
      <c r="AF372" s="45"/>
      <c r="AG372" s="71"/>
      <c r="AH372" s="71"/>
      <c r="AI372" s="45"/>
      <c r="AJ372" s="45"/>
      <c r="AK372" s="45"/>
      <c r="AL372" s="45"/>
      <c r="AM372" s="45"/>
      <c r="AN372" s="45"/>
    </row>
    <row r="373">
      <c r="A373" s="45"/>
      <c r="B373" s="45"/>
      <c r="C373" s="45"/>
      <c r="D373" s="45"/>
      <c r="E373" s="45"/>
      <c r="F373" s="45"/>
      <c r="G373" s="69"/>
      <c r="H373" s="45"/>
      <c r="I373" s="45"/>
      <c r="J373" s="69"/>
      <c r="K373" s="45"/>
      <c r="L373" s="45"/>
      <c r="M373" s="45"/>
      <c r="N373" s="69"/>
      <c r="O373" s="45"/>
      <c r="P373" s="45"/>
      <c r="Q373" s="69"/>
      <c r="R373" s="45"/>
      <c r="S373" s="45"/>
      <c r="T373" s="69"/>
      <c r="U373" s="45"/>
      <c r="V373" s="45"/>
      <c r="W373" s="45"/>
      <c r="X373" s="45"/>
      <c r="Y373" s="69"/>
      <c r="Z373" s="45"/>
      <c r="AA373" s="45"/>
      <c r="AB373" s="70"/>
      <c r="AC373" s="70"/>
      <c r="AD373" s="70"/>
      <c r="AE373" s="70"/>
      <c r="AF373" s="45"/>
      <c r="AG373" s="71"/>
      <c r="AH373" s="71"/>
      <c r="AI373" s="45"/>
      <c r="AJ373" s="45"/>
      <c r="AK373" s="45"/>
      <c r="AL373" s="45"/>
      <c r="AM373" s="45"/>
      <c r="AN373" s="45"/>
    </row>
    <row r="374">
      <c r="A374" s="45"/>
      <c r="B374" s="45"/>
      <c r="C374" s="45"/>
      <c r="D374" s="45"/>
      <c r="E374" s="45"/>
      <c r="F374" s="45"/>
      <c r="G374" s="69"/>
      <c r="H374" s="45"/>
      <c r="I374" s="45"/>
      <c r="J374" s="69"/>
      <c r="K374" s="45"/>
      <c r="L374" s="45"/>
      <c r="M374" s="45"/>
      <c r="N374" s="69"/>
      <c r="O374" s="45"/>
      <c r="P374" s="45"/>
      <c r="Q374" s="69"/>
      <c r="R374" s="45"/>
      <c r="S374" s="45"/>
      <c r="T374" s="69"/>
      <c r="U374" s="45"/>
      <c r="V374" s="45"/>
      <c r="W374" s="45"/>
      <c r="X374" s="45"/>
      <c r="Y374" s="69"/>
      <c r="Z374" s="45"/>
      <c r="AA374" s="45"/>
      <c r="AB374" s="70"/>
      <c r="AC374" s="70"/>
      <c r="AD374" s="70"/>
      <c r="AE374" s="70"/>
      <c r="AF374" s="45"/>
      <c r="AG374" s="71"/>
      <c r="AH374" s="71"/>
      <c r="AI374" s="45"/>
      <c r="AJ374" s="45"/>
      <c r="AK374" s="45"/>
      <c r="AL374" s="45"/>
      <c r="AM374" s="45"/>
      <c r="AN374" s="45"/>
    </row>
    <row r="375">
      <c r="A375" s="45"/>
      <c r="B375" s="45"/>
      <c r="C375" s="45"/>
      <c r="D375" s="45"/>
      <c r="E375" s="45"/>
      <c r="F375" s="45"/>
      <c r="G375" s="69"/>
      <c r="H375" s="45"/>
      <c r="I375" s="45"/>
      <c r="J375" s="69"/>
      <c r="K375" s="45"/>
      <c r="L375" s="45"/>
      <c r="M375" s="45"/>
      <c r="N375" s="69"/>
      <c r="O375" s="45"/>
      <c r="P375" s="45"/>
      <c r="Q375" s="69"/>
      <c r="R375" s="45"/>
      <c r="S375" s="45"/>
      <c r="T375" s="69"/>
      <c r="U375" s="45"/>
      <c r="V375" s="45"/>
      <c r="W375" s="45"/>
      <c r="X375" s="45"/>
      <c r="Y375" s="69"/>
      <c r="Z375" s="45"/>
      <c r="AA375" s="45"/>
      <c r="AB375" s="70"/>
      <c r="AC375" s="70"/>
      <c r="AD375" s="70"/>
      <c r="AE375" s="70"/>
      <c r="AF375" s="45"/>
      <c r="AG375" s="71"/>
      <c r="AH375" s="71"/>
      <c r="AI375" s="45"/>
      <c r="AJ375" s="45"/>
      <c r="AK375" s="45"/>
      <c r="AL375" s="45"/>
      <c r="AM375" s="45"/>
      <c r="AN375" s="45"/>
    </row>
    <row r="376">
      <c r="A376" s="45"/>
      <c r="B376" s="45"/>
      <c r="C376" s="45"/>
      <c r="D376" s="45"/>
      <c r="E376" s="45"/>
      <c r="F376" s="45"/>
      <c r="G376" s="69"/>
      <c r="H376" s="45"/>
      <c r="I376" s="45"/>
      <c r="J376" s="69"/>
      <c r="K376" s="45"/>
      <c r="L376" s="45"/>
      <c r="M376" s="45"/>
      <c r="N376" s="69"/>
      <c r="O376" s="45"/>
      <c r="P376" s="45"/>
      <c r="Q376" s="69"/>
      <c r="R376" s="45"/>
      <c r="S376" s="45"/>
      <c r="T376" s="69"/>
      <c r="U376" s="45"/>
      <c r="V376" s="45"/>
      <c r="W376" s="45"/>
      <c r="X376" s="45"/>
      <c r="Y376" s="69"/>
      <c r="Z376" s="45"/>
      <c r="AA376" s="45"/>
      <c r="AB376" s="70"/>
      <c r="AC376" s="70"/>
      <c r="AD376" s="70"/>
      <c r="AE376" s="70"/>
      <c r="AF376" s="45"/>
      <c r="AG376" s="71"/>
      <c r="AH376" s="71"/>
      <c r="AI376" s="45"/>
      <c r="AJ376" s="45"/>
      <c r="AK376" s="45"/>
      <c r="AL376" s="45"/>
      <c r="AM376" s="45"/>
      <c r="AN376" s="45"/>
    </row>
    <row r="377">
      <c r="A377" s="45"/>
      <c r="B377" s="45"/>
      <c r="C377" s="45"/>
      <c r="D377" s="45"/>
      <c r="E377" s="45"/>
      <c r="F377" s="45"/>
      <c r="G377" s="69"/>
      <c r="H377" s="45"/>
      <c r="I377" s="45"/>
      <c r="J377" s="69"/>
      <c r="K377" s="45"/>
      <c r="L377" s="45"/>
      <c r="M377" s="45"/>
      <c r="N377" s="69"/>
      <c r="O377" s="45"/>
      <c r="P377" s="45"/>
      <c r="Q377" s="69"/>
      <c r="R377" s="45"/>
      <c r="S377" s="45"/>
      <c r="T377" s="69"/>
      <c r="U377" s="45"/>
      <c r="V377" s="45"/>
      <c r="W377" s="45"/>
      <c r="X377" s="45"/>
      <c r="Y377" s="69"/>
      <c r="Z377" s="45"/>
      <c r="AA377" s="45"/>
      <c r="AB377" s="70"/>
      <c r="AC377" s="70"/>
      <c r="AD377" s="70"/>
      <c r="AE377" s="70"/>
      <c r="AF377" s="45"/>
      <c r="AG377" s="71"/>
      <c r="AH377" s="71"/>
      <c r="AI377" s="45"/>
      <c r="AJ377" s="45"/>
      <c r="AK377" s="45"/>
      <c r="AL377" s="45"/>
      <c r="AM377" s="45"/>
      <c r="AN377" s="45"/>
    </row>
    <row r="378">
      <c r="A378" s="45"/>
      <c r="B378" s="45"/>
      <c r="C378" s="45"/>
      <c r="D378" s="45"/>
      <c r="E378" s="45"/>
      <c r="F378" s="45"/>
      <c r="G378" s="69"/>
      <c r="H378" s="45"/>
      <c r="I378" s="45"/>
      <c r="J378" s="69"/>
      <c r="K378" s="45"/>
      <c r="L378" s="45"/>
      <c r="M378" s="45"/>
      <c r="N378" s="69"/>
      <c r="O378" s="45"/>
      <c r="P378" s="45"/>
      <c r="Q378" s="69"/>
      <c r="R378" s="45"/>
      <c r="S378" s="45"/>
      <c r="T378" s="69"/>
      <c r="U378" s="45"/>
      <c r="V378" s="45"/>
      <c r="W378" s="45"/>
      <c r="X378" s="45"/>
      <c r="Y378" s="69"/>
      <c r="Z378" s="45"/>
      <c r="AA378" s="45"/>
      <c r="AB378" s="70"/>
      <c r="AC378" s="70"/>
      <c r="AD378" s="70"/>
      <c r="AE378" s="70"/>
      <c r="AF378" s="45"/>
      <c r="AG378" s="71"/>
      <c r="AH378" s="71"/>
      <c r="AI378" s="45"/>
      <c r="AJ378" s="45"/>
      <c r="AK378" s="45"/>
      <c r="AL378" s="45"/>
      <c r="AM378" s="45"/>
      <c r="AN378" s="45"/>
    </row>
    <row r="379">
      <c r="A379" s="45"/>
      <c r="B379" s="45"/>
      <c r="C379" s="45"/>
      <c r="D379" s="45"/>
      <c r="E379" s="45"/>
      <c r="F379" s="45"/>
      <c r="G379" s="69"/>
      <c r="H379" s="45"/>
      <c r="I379" s="45"/>
      <c r="J379" s="69"/>
      <c r="K379" s="45"/>
      <c r="L379" s="45"/>
      <c r="M379" s="45"/>
      <c r="N379" s="69"/>
      <c r="O379" s="45"/>
      <c r="P379" s="45"/>
      <c r="Q379" s="69"/>
      <c r="R379" s="45"/>
      <c r="S379" s="45"/>
      <c r="T379" s="69"/>
      <c r="U379" s="45"/>
      <c r="V379" s="45"/>
      <c r="W379" s="45"/>
      <c r="X379" s="45"/>
      <c r="Y379" s="69"/>
      <c r="Z379" s="45"/>
      <c r="AA379" s="45"/>
      <c r="AB379" s="70"/>
      <c r="AC379" s="70"/>
      <c r="AD379" s="70"/>
      <c r="AE379" s="70"/>
      <c r="AF379" s="45"/>
      <c r="AG379" s="71"/>
      <c r="AH379" s="71"/>
      <c r="AI379" s="45"/>
      <c r="AJ379" s="45"/>
      <c r="AK379" s="45"/>
      <c r="AL379" s="45"/>
      <c r="AM379" s="45"/>
      <c r="AN379" s="45"/>
    </row>
    <row r="380">
      <c r="A380" s="45"/>
      <c r="B380" s="45"/>
      <c r="C380" s="45"/>
      <c r="D380" s="45"/>
      <c r="E380" s="45"/>
      <c r="F380" s="45"/>
      <c r="G380" s="69"/>
      <c r="H380" s="45"/>
      <c r="I380" s="45"/>
      <c r="J380" s="69"/>
      <c r="K380" s="45"/>
      <c r="L380" s="45"/>
      <c r="M380" s="45"/>
      <c r="N380" s="69"/>
      <c r="O380" s="45"/>
      <c r="P380" s="45"/>
      <c r="Q380" s="69"/>
      <c r="R380" s="45"/>
      <c r="S380" s="45"/>
      <c r="T380" s="69"/>
      <c r="U380" s="45"/>
      <c r="V380" s="45"/>
      <c r="W380" s="45"/>
      <c r="X380" s="45"/>
      <c r="Y380" s="69"/>
      <c r="Z380" s="45"/>
      <c r="AA380" s="45"/>
      <c r="AB380" s="70"/>
      <c r="AC380" s="70"/>
      <c r="AD380" s="70"/>
      <c r="AE380" s="70"/>
      <c r="AF380" s="45"/>
      <c r="AG380" s="71"/>
      <c r="AH380" s="71"/>
      <c r="AI380" s="45"/>
      <c r="AJ380" s="45"/>
      <c r="AK380" s="45"/>
      <c r="AL380" s="45"/>
      <c r="AM380" s="45"/>
      <c r="AN380" s="45"/>
    </row>
    <row r="381">
      <c r="A381" s="45"/>
      <c r="B381" s="45"/>
      <c r="C381" s="45"/>
      <c r="D381" s="45"/>
      <c r="E381" s="45"/>
      <c r="F381" s="45"/>
      <c r="G381" s="69"/>
      <c r="H381" s="45"/>
      <c r="I381" s="45"/>
      <c r="J381" s="69"/>
      <c r="K381" s="45"/>
      <c r="L381" s="45"/>
      <c r="M381" s="45"/>
      <c r="N381" s="69"/>
      <c r="O381" s="45"/>
      <c r="P381" s="45"/>
      <c r="Q381" s="69"/>
      <c r="R381" s="45"/>
      <c r="S381" s="45"/>
      <c r="T381" s="69"/>
      <c r="U381" s="45"/>
      <c r="V381" s="45"/>
      <c r="W381" s="45"/>
      <c r="X381" s="45"/>
      <c r="Y381" s="69"/>
      <c r="Z381" s="45"/>
      <c r="AA381" s="45"/>
      <c r="AB381" s="70"/>
      <c r="AC381" s="70"/>
      <c r="AD381" s="70"/>
      <c r="AE381" s="70"/>
      <c r="AF381" s="45"/>
      <c r="AG381" s="71"/>
      <c r="AH381" s="71"/>
      <c r="AI381" s="45"/>
      <c r="AJ381" s="45"/>
      <c r="AK381" s="45"/>
      <c r="AL381" s="45"/>
      <c r="AM381" s="45"/>
      <c r="AN381" s="45"/>
    </row>
    <row r="382">
      <c r="A382" s="45"/>
      <c r="B382" s="45"/>
      <c r="C382" s="45"/>
      <c r="D382" s="45"/>
      <c r="E382" s="45"/>
      <c r="F382" s="45"/>
      <c r="G382" s="69"/>
      <c r="H382" s="45"/>
      <c r="I382" s="45"/>
      <c r="J382" s="69"/>
      <c r="K382" s="45"/>
      <c r="L382" s="45"/>
      <c r="M382" s="45"/>
      <c r="N382" s="69"/>
      <c r="O382" s="45"/>
      <c r="P382" s="45"/>
      <c r="Q382" s="69"/>
      <c r="R382" s="45"/>
      <c r="S382" s="45"/>
      <c r="T382" s="69"/>
      <c r="U382" s="45"/>
      <c r="V382" s="45"/>
      <c r="W382" s="45"/>
      <c r="X382" s="45"/>
      <c r="Y382" s="69"/>
      <c r="Z382" s="45"/>
      <c r="AA382" s="45"/>
      <c r="AB382" s="70"/>
      <c r="AC382" s="70"/>
      <c r="AD382" s="70"/>
      <c r="AE382" s="70"/>
      <c r="AF382" s="45"/>
      <c r="AG382" s="71"/>
      <c r="AH382" s="71"/>
      <c r="AI382" s="45"/>
      <c r="AJ382" s="45"/>
      <c r="AK382" s="45"/>
      <c r="AL382" s="45"/>
      <c r="AM382" s="45"/>
      <c r="AN382" s="45"/>
    </row>
    <row r="383">
      <c r="A383" s="45"/>
      <c r="B383" s="45"/>
      <c r="C383" s="45"/>
      <c r="D383" s="45"/>
      <c r="E383" s="45"/>
      <c r="F383" s="45"/>
      <c r="G383" s="69"/>
      <c r="H383" s="45"/>
      <c r="I383" s="45"/>
      <c r="J383" s="69"/>
      <c r="K383" s="45"/>
      <c r="L383" s="45"/>
      <c r="M383" s="45"/>
      <c r="N383" s="69"/>
      <c r="O383" s="45"/>
      <c r="P383" s="45"/>
      <c r="Q383" s="69"/>
      <c r="R383" s="45"/>
      <c r="S383" s="45"/>
      <c r="T383" s="69"/>
      <c r="U383" s="45"/>
      <c r="V383" s="45"/>
      <c r="W383" s="45"/>
      <c r="X383" s="45"/>
      <c r="Y383" s="69"/>
      <c r="Z383" s="45"/>
      <c r="AA383" s="45"/>
      <c r="AB383" s="70"/>
      <c r="AC383" s="70"/>
      <c r="AD383" s="70"/>
      <c r="AE383" s="70"/>
      <c r="AF383" s="45"/>
      <c r="AG383" s="71"/>
      <c r="AH383" s="71"/>
      <c r="AI383" s="45"/>
      <c r="AJ383" s="45"/>
      <c r="AK383" s="45"/>
      <c r="AL383" s="45"/>
      <c r="AM383" s="45"/>
      <c r="AN383" s="45"/>
    </row>
    <row r="384">
      <c r="A384" s="45"/>
      <c r="B384" s="45"/>
      <c r="C384" s="45"/>
      <c r="D384" s="45"/>
      <c r="E384" s="45"/>
      <c r="F384" s="45"/>
      <c r="G384" s="69"/>
      <c r="H384" s="45"/>
      <c r="I384" s="45"/>
      <c r="J384" s="69"/>
      <c r="K384" s="45"/>
      <c r="L384" s="45"/>
      <c r="M384" s="45"/>
      <c r="N384" s="69"/>
      <c r="O384" s="45"/>
      <c r="P384" s="45"/>
      <c r="Q384" s="69"/>
      <c r="R384" s="45"/>
      <c r="S384" s="45"/>
      <c r="T384" s="69"/>
      <c r="U384" s="45"/>
      <c r="V384" s="45"/>
      <c r="W384" s="45"/>
      <c r="X384" s="45"/>
      <c r="Y384" s="69"/>
      <c r="Z384" s="45"/>
      <c r="AA384" s="45"/>
      <c r="AB384" s="70"/>
      <c r="AC384" s="70"/>
      <c r="AD384" s="70"/>
      <c r="AE384" s="70"/>
      <c r="AF384" s="45"/>
      <c r="AG384" s="71"/>
      <c r="AH384" s="71"/>
      <c r="AI384" s="45"/>
      <c r="AJ384" s="45"/>
      <c r="AK384" s="45"/>
      <c r="AL384" s="45"/>
      <c r="AM384" s="45"/>
      <c r="AN384" s="45"/>
    </row>
    <row r="385">
      <c r="A385" s="45"/>
      <c r="B385" s="45"/>
      <c r="C385" s="45"/>
      <c r="D385" s="45"/>
      <c r="E385" s="45"/>
      <c r="F385" s="45"/>
      <c r="G385" s="69"/>
      <c r="H385" s="45"/>
      <c r="I385" s="45"/>
      <c r="J385" s="69"/>
      <c r="K385" s="45"/>
      <c r="L385" s="45"/>
      <c r="M385" s="45"/>
      <c r="N385" s="69"/>
      <c r="O385" s="45"/>
      <c r="P385" s="45"/>
      <c r="Q385" s="69"/>
      <c r="R385" s="45"/>
      <c r="S385" s="45"/>
      <c r="T385" s="69"/>
      <c r="U385" s="45"/>
      <c r="V385" s="45"/>
      <c r="W385" s="45"/>
      <c r="X385" s="45"/>
      <c r="Y385" s="69"/>
      <c r="Z385" s="45"/>
      <c r="AA385" s="45"/>
      <c r="AB385" s="70"/>
      <c r="AC385" s="70"/>
      <c r="AD385" s="70"/>
      <c r="AE385" s="70"/>
      <c r="AF385" s="45"/>
      <c r="AG385" s="71"/>
      <c r="AH385" s="71"/>
      <c r="AI385" s="45"/>
      <c r="AJ385" s="45"/>
      <c r="AK385" s="45"/>
      <c r="AL385" s="45"/>
      <c r="AM385" s="45"/>
      <c r="AN385" s="45"/>
    </row>
    <row r="386">
      <c r="A386" s="45"/>
      <c r="B386" s="45"/>
      <c r="C386" s="45"/>
      <c r="D386" s="45"/>
      <c r="E386" s="45"/>
      <c r="F386" s="45"/>
      <c r="G386" s="69"/>
      <c r="H386" s="45"/>
      <c r="I386" s="45"/>
      <c r="J386" s="69"/>
      <c r="K386" s="45"/>
      <c r="L386" s="45"/>
      <c r="M386" s="45"/>
      <c r="N386" s="69"/>
      <c r="O386" s="45"/>
      <c r="P386" s="45"/>
      <c r="Q386" s="69"/>
      <c r="R386" s="45"/>
      <c r="S386" s="45"/>
      <c r="T386" s="69"/>
      <c r="U386" s="45"/>
      <c r="V386" s="45"/>
      <c r="W386" s="45"/>
      <c r="X386" s="45"/>
      <c r="Y386" s="69"/>
      <c r="Z386" s="45"/>
      <c r="AA386" s="45"/>
      <c r="AB386" s="70"/>
      <c r="AC386" s="70"/>
      <c r="AD386" s="70"/>
      <c r="AE386" s="70"/>
      <c r="AF386" s="45"/>
      <c r="AG386" s="71"/>
      <c r="AH386" s="71"/>
      <c r="AI386" s="45"/>
      <c r="AJ386" s="45"/>
      <c r="AK386" s="45"/>
      <c r="AL386" s="45"/>
      <c r="AM386" s="45"/>
      <c r="AN386" s="45"/>
    </row>
    <row r="387">
      <c r="A387" s="45"/>
      <c r="B387" s="45"/>
      <c r="C387" s="45"/>
      <c r="D387" s="45"/>
      <c r="E387" s="45"/>
      <c r="F387" s="45"/>
      <c r="G387" s="69"/>
      <c r="H387" s="45"/>
      <c r="I387" s="45"/>
      <c r="J387" s="69"/>
      <c r="K387" s="45"/>
      <c r="L387" s="45"/>
      <c r="M387" s="45"/>
      <c r="N387" s="69"/>
      <c r="O387" s="45"/>
      <c r="P387" s="45"/>
      <c r="Q387" s="69"/>
      <c r="R387" s="45"/>
      <c r="S387" s="45"/>
      <c r="T387" s="69"/>
      <c r="U387" s="45"/>
      <c r="V387" s="45"/>
      <c r="W387" s="45"/>
      <c r="X387" s="45"/>
      <c r="Y387" s="69"/>
      <c r="Z387" s="45"/>
      <c r="AA387" s="45"/>
      <c r="AB387" s="70"/>
      <c r="AC387" s="70"/>
      <c r="AD387" s="70"/>
      <c r="AE387" s="70"/>
      <c r="AF387" s="45"/>
      <c r="AG387" s="71"/>
      <c r="AH387" s="71"/>
      <c r="AI387" s="45"/>
      <c r="AJ387" s="45"/>
      <c r="AK387" s="45"/>
      <c r="AL387" s="45"/>
      <c r="AM387" s="45"/>
      <c r="AN387" s="45"/>
    </row>
    <row r="388">
      <c r="A388" s="45"/>
      <c r="B388" s="45"/>
      <c r="C388" s="45"/>
      <c r="D388" s="45"/>
      <c r="E388" s="45"/>
      <c r="F388" s="45"/>
      <c r="G388" s="69"/>
      <c r="H388" s="45"/>
      <c r="I388" s="45"/>
      <c r="J388" s="69"/>
      <c r="K388" s="45"/>
      <c r="L388" s="45"/>
      <c r="M388" s="45"/>
      <c r="N388" s="69"/>
      <c r="O388" s="45"/>
      <c r="P388" s="45"/>
      <c r="Q388" s="69"/>
      <c r="R388" s="45"/>
      <c r="S388" s="45"/>
      <c r="T388" s="69"/>
      <c r="U388" s="45"/>
      <c r="V388" s="45"/>
      <c r="W388" s="45"/>
      <c r="X388" s="45"/>
      <c r="Y388" s="69"/>
      <c r="Z388" s="45"/>
      <c r="AA388" s="45"/>
      <c r="AB388" s="70"/>
      <c r="AC388" s="70"/>
      <c r="AD388" s="70"/>
      <c r="AE388" s="70"/>
      <c r="AF388" s="45"/>
      <c r="AG388" s="71"/>
      <c r="AH388" s="71"/>
      <c r="AI388" s="45"/>
      <c r="AJ388" s="45"/>
      <c r="AK388" s="45"/>
      <c r="AL388" s="45"/>
      <c r="AM388" s="45"/>
      <c r="AN388" s="45"/>
    </row>
    <row r="389">
      <c r="A389" s="45"/>
      <c r="B389" s="45"/>
      <c r="C389" s="45"/>
      <c r="D389" s="45"/>
      <c r="E389" s="45"/>
      <c r="F389" s="45"/>
      <c r="G389" s="69"/>
      <c r="H389" s="45"/>
      <c r="I389" s="45"/>
      <c r="J389" s="69"/>
      <c r="K389" s="45"/>
      <c r="L389" s="45"/>
      <c r="M389" s="45"/>
      <c r="N389" s="69"/>
      <c r="O389" s="45"/>
      <c r="P389" s="45"/>
      <c r="Q389" s="69"/>
      <c r="R389" s="45"/>
      <c r="S389" s="45"/>
      <c r="T389" s="69"/>
      <c r="U389" s="45"/>
      <c r="V389" s="45"/>
      <c r="W389" s="45"/>
      <c r="X389" s="45"/>
      <c r="Y389" s="69"/>
      <c r="Z389" s="45"/>
      <c r="AA389" s="45"/>
      <c r="AB389" s="70"/>
      <c r="AC389" s="70"/>
      <c r="AD389" s="70"/>
      <c r="AE389" s="70"/>
      <c r="AF389" s="45"/>
      <c r="AG389" s="71"/>
      <c r="AH389" s="71"/>
      <c r="AI389" s="45"/>
      <c r="AJ389" s="45"/>
      <c r="AK389" s="45"/>
      <c r="AL389" s="45"/>
      <c r="AM389" s="45"/>
      <c r="AN389" s="45"/>
    </row>
    <row r="390">
      <c r="A390" s="45"/>
      <c r="B390" s="45"/>
      <c r="C390" s="45"/>
      <c r="D390" s="45"/>
      <c r="E390" s="45"/>
      <c r="F390" s="45"/>
      <c r="G390" s="69"/>
      <c r="H390" s="45"/>
      <c r="I390" s="45"/>
      <c r="J390" s="69"/>
      <c r="K390" s="45"/>
      <c r="L390" s="45"/>
      <c r="M390" s="45"/>
      <c r="N390" s="69"/>
      <c r="O390" s="45"/>
      <c r="P390" s="45"/>
      <c r="Q390" s="69"/>
      <c r="R390" s="45"/>
      <c r="S390" s="45"/>
      <c r="T390" s="69"/>
      <c r="U390" s="45"/>
      <c r="V390" s="45"/>
      <c r="W390" s="45"/>
      <c r="X390" s="45"/>
      <c r="Y390" s="69"/>
      <c r="Z390" s="45"/>
      <c r="AA390" s="45"/>
      <c r="AB390" s="70"/>
      <c r="AC390" s="70"/>
      <c r="AD390" s="70"/>
      <c r="AE390" s="70"/>
      <c r="AF390" s="45"/>
      <c r="AG390" s="71"/>
      <c r="AH390" s="71"/>
      <c r="AI390" s="45"/>
      <c r="AJ390" s="45"/>
      <c r="AK390" s="45"/>
      <c r="AL390" s="45"/>
      <c r="AM390" s="45"/>
      <c r="AN390" s="45"/>
    </row>
    <row r="391">
      <c r="A391" s="45"/>
      <c r="B391" s="45"/>
      <c r="C391" s="45"/>
      <c r="D391" s="45"/>
      <c r="E391" s="45"/>
      <c r="F391" s="45"/>
      <c r="G391" s="69"/>
      <c r="H391" s="45"/>
      <c r="I391" s="45"/>
      <c r="J391" s="69"/>
      <c r="K391" s="45"/>
      <c r="L391" s="45"/>
      <c r="M391" s="45"/>
      <c r="N391" s="69"/>
      <c r="O391" s="45"/>
      <c r="P391" s="45"/>
      <c r="Q391" s="69"/>
      <c r="R391" s="45"/>
      <c r="S391" s="45"/>
      <c r="T391" s="69"/>
      <c r="U391" s="45"/>
      <c r="V391" s="45"/>
      <c r="W391" s="45"/>
      <c r="X391" s="45"/>
      <c r="Y391" s="69"/>
      <c r="Z391" s="45"/>
      <c r="AA391" s="45"/>
      <c r="AB391" s="70"/>
      <c r="AC391" s="70"/>
      <c r="AD391" s="70"/>
      <c r="AE391" s="70"/>
      <c r="AF391" s="45"/>
      <c r="AG391" s="71"/>
      <c r="AH391" s="71"/>
      <c r="AI391" s="45"/>
      <c r="AJ391" s="45"/>
      <c r="AK391" s="45"/>
      <c r="AL391" s="45"/>
      <c r="AM391" s="45"/>
      <c r="AN391" s="45"/>
    </row>
    <row r="392">
      <c r="A392" s="45"/>
      <c r="B392" s="45"/>
      <c r="C392" s="45"/>
      <c r="D392" s="45"/>
      <c r="E392" s="45"/>
      <c r="F392" s="45"/>
      <c r="G392" s="69"/>
      <c r="H392" s="45"/>
      <c r="I392" s="45"/>
      <c r="J392" s="69"/>
      <c r="K392" s="45"/>
      <c r="L392" s="45"/>
      <c r="M392" s="45"/>
      <c r="N392" s="69"/>
      <c r="O392" s="45"/>
      <c r="P392" s="45"/>
      <c r="Q392" s="69"/>
      <c r="R392" s="45"/>
      <c r="S392" s="45"/>
      <c r="T392" s="69"/>
      <c r="U392" s="45"/>
      <c r="V392" s="45"/>
      <c r="W392" s="45"/>
      <c r="X392" s="45"/>
      <c r="Y392" s="69"/>
      <c r="Z392" s="45"/>
      <c r="AA392" s="45"/>
      <c r="AB392" s="70"/>
      <c r="AC392" s="70"/>
      <c r="AD392" s="70"/>
      <c r="AE392" s="70"/>
      <c r="AF392" s="45"/>
      <c r="AG392" s="71"/>
      <c r="AH392" s="71"/>
      <c r="AI392" s="45"/>
      <c r="AJ392" s="45"/>
      <c r="AK392" s="45"/>
      <c r="AL392" s="45"/>
      <c r="AM392" s="45"/>
      <c r="AN392" s="45"/>
    </row>
    <row r="393">
      <c r="A393" s="45"/>
      <c r="B393" s="45"/>
      <c r="C393" s="45"/>
      <c r="D393" s="45"/>
      <c r="E393" s="45"/>
      <c r="F393" s="45"/>
      <c r="G393" s="69"/>
      <c r="H393" s="45"/>
      <c r="I393" s="45"/>
      <c r="J393" s="69"/>
      <c r="K393" s="45"/>
      <c r="L393" s="45"/>
      <c r="M393" s="45"/>
      <c r="N393" s="69"/>
      <c r="O393" s="45"/>
      <c r="P393" s="45"/>
      <c r="Q393" s="69"/>
      <c r="R393" s="45"/>
      <c r="S393" s="45"/>
      <c r="T393" s="69"/>
      <c r="U393" s="45"/>
      <c r="V393" s="45"/>
      <c r="W393" s="45"/>
      <c r="X393" s="45"/>
      <c r="Y393" s="69"/>
      <c r="Z393" s="45"/>
      <c r="AA393" s="45"/>
      <c r="AB393" s="70"/>
      <c r="AC393" s="70"/>
      <c r="AD393" s="70"/>
      <c r="AE393" s="70"/>
      <c r="AF393" s="45"/>
      <c r="AG393" s="71"/>
      <c r="AH393" s="71"/>
      <c r="AI393" s="45"/>
      <c r="AJ393" s="45"/>
      <c r="AK393" s="45"/>
      <c r="AL393" s="45"/>
      <c r="AM393" s="45"/>
      <c r="AN393" s="45"/>
    </row>
    <row r="394">
      <c r="A394" s="45"/>
      <c r="B394" s="45"/>
      <c r="C394" s="45"/>
      <c r="D394" s="45"/>
      <c r="E394" s="45"/>
      <c r="F394" s="45"/>
      <c r="G394" s="69"/>
      <c r="H394" s="45"/>
      <c r="I394" s="45"/>
      <c r="J394" s="69"/>
      <c r="K394" s="45"/>
      <c r="L394" s="45"/>
      <c r="M394" s="45"/>
      <c r="N394" s="69"/>
      <c r="O394" s="45"/>
      <c r="P394" s="45"/>
      <c r="Q394" s="69"/>
      <c r="R394" s="45"/>
      <c r="S394" s="45"/>
      <c r="T394" s="69"/>
      <c r="U394" s="45"/>
      <c r="V394" s="45"/>
      <c r="W394" s="45"/>
      <c r="X394" s="45"/>
      <c r="Y394" s="69"/>
      <c r="Z394" s="45"/>
      <c r="AA394" s="45"/>
      <c r="AB394" s="70"/>
      <c r="AC394" s="70"/>
      <c r="AD394" s="70"/>
      <c r="AE394" s="70"/>
      <c r="AF394" s="45"/>
      <c r="AG394" s="71"/>
      <c r="AH394" s="71"/>
      <c r="AI394" s="45"/>
      <c r="AJ394" s="45"/>
      <c r="AK394" s="45"/>
      <c r="AL394" s="45"/>
      <c r="AM394" s="45"/>
      <c r="AN394" s="45"/>
    </row>
    <row r="395">
      <c r="A395" s="45"/>
      <c r="B395" s="45"/>
      <c r="C395" s="45"/>
      <c r="D395" s="45"/>
      <c r="E395" s="45"/>
      <c r="F395" s="45"/>
      <c r="G395" s="69"/>
      <c r="H395" s="45"/>
      <c r="I395" s="45"/>
      <c r="J395" s="69"/>
      <c r="K395" s="45"/>
      <c r="L395" s="45"/>
      <c r="M395" s="45"/>
      <c r="N395" s="69"/>
      <c r="O395" s="45"/>
      <c r="P395" s="45"/>
      <c r="Q395" s="69"/>
      <c r="R395" s="45"/>
      <c r="S395" s="45"/>
      <c r="T395" s="69"/>
      <c r="U395" s="45"/>
      <c r="V395" s="45"/>
      <c r="W395" s="45"/>
      <c r="X395" s="45"/>
      <c r="Y395" s="69"/>
      <c r="Z395" s="45"/>
      <c r="AA395" s="45"/>
      <c r="AB395" s="70"/>
      <c r="AC395" s="70"/>
      <c r="AD395" s="70"/>
      <c r="AE395" s="70"/>
      <c r="AF395" s="45"/>
      <c r="AG395" s="71"/>
      <c r="AH395" s="71"/>
      <c r="AI395" s="45"/>
      <c r="AJ395" s="45"/>
      <c r="AK395" s="45"/>
      <c r="AL395" s="45"/>
      <c r="AM395" s="45"/>
      <c r="AN395" s="45"/>
    </row>
    <row r="396">
      <c r="A396" s="45"/>
      <c r="B396" s="45"/>
      <c r="C396" s="45"/>
      <c r="D396" s="45"/>
      <c r="E396" s="45"/>
      <c r="F396" s="45"/>
      <c r="G396" s="69"/>
      <c r="H396" s="45"/>
      <c r="I396" s="45"/>
      <c r="J396" s="69"/>
      <c r="K396" s="45"/>
      <c r="L396" s="45"/>
      <c r="M396" s="45"/>
      <c r="N396" s="69"/>
      <c r="O396" s="45"/>
      <c r="P396" s="45"/>
      <c r="Q396" s="69"/>
      <c r="R396" s="45"/>
      <c r="S396" s="45"/>
      <c r="T396" s="69"/>
      <c r="U396" s="45"/>
      <c r="V396" s="45"/>
      <c r="W396" s="45"/>
      <c r="X396" s="45"/>
      <c r="Y396" s="69"/>
      <c r="Z396" s="45"/>
      <c r="AA396" s="45"/>
      <c r="AB396" s="70"/>
      <c r="AC396" s="70"/>
      <c r="AD396" s="70"/>
      <c r="AE396" s="70"/>
      <c r="AF396" s="45"/>
      <c r="AG396" s="71"/>
      <c r="AH396" s="71"/>
      <c r="AI396" s="45"/>
      <c r="AJ396" s="45"/>
      <c r="AK396" s="45"/>
      <c r="AL396" s="45"/>
      <c r="AM396" s="45"/>
      <c r="AN396" s="45"/>
    </row>
    <row r="397">
      <c r="A397" s="45"/>
      <c r="B397" s="45"/>
      <c r="C397" s="45"/>
      <c r="D397" s="45"/>
      <c r="E397" s="45"/>
      <c r="F397" s="45"/>
      <c r="G397" s="69"/>
      <c r="H397" s="45"/>
      <c r="I397" s="45"/>
      <c r="J397" s="69"/>
      <c r="K397" s="45"/>
      <c r="L397" s="45"/>
      <c r="M397" s="45"/>
      <c r="N397" s="69"/>
      <c r="O397" s="45"/>
      <c r="P397" s="45"/>
      <c r="Q397" s="69"/>
      <c r="R397" s="45"/>
      <c r="S397" s="45"/>
      <c r="T397" s="69"/>
      <c r="U397" s="45"/>
      <c r="V397" s="45"/>
      <c r="W397" s="45"/>
      <c r="X397" s="45"/>
      <c r="Y397" s="69"/>
      <c r="Z397" s="45"/>
      <c r="AA397" s="45"/>
      <c r="AB397" s="70"/>
      <c r="AC397" s="70"/>
      <c r="AD397" s="70"/>
      <c r="AE397" s="70"/>
      <c r="AF397" s="45"/>
      <c r="AG397" s="71"/>
      <c r="AH397" s="71"/>
      <c r="AI397" s="45"/>
      <c r="AJ397" s="45"/>
      <c r="AK397" s="45"/>
      <c r="AL397" s="45"/>
      <c r="AM397" s="45"/>
      <c r="AN397" s="45"/>
    </row>
    <row r="398">
      <c r="A398" s="45"/>
      <c r="B398" s="45"/>
      <c r="C398" s="45"/>
      <c r="D398" s="45"/>
      <c r="E398" s="45"/>
      <c r="F398" s="45"/>
      <c r="G398" s="69"/>
      <c r="H398" s="45"/>
      <c r="I398" s="45"/>
      <c r="J398" s="69"/>
      <c r="K398" s="45"/>
      <c r="L398" s="45"/>
      <c r="M398" s="45"/>
      <c r="N398" s="69"/>
      <c r="O398" s="45"/>
      <c r="P398" s="45"/>
      <c r="Q398" s="69"/>
      <c r="R398" s="45"/>
      <c r="S398" s="45"/>
      <c r="T398" s="69"/>
      <c r="U398" s="45"/>
      <c r="V398" s="45"/>
      <c r="W398" s="45"/>
      <c r="X398" s="45"/>
      <c r="Y398" s="69"/>
      <c r="Z398" s="45"/>
      <c r="AA398" s="45"/>
      <c r="AB398" s="70"/>
      <c r="AC398" s="70"/>
      <c r="AD398" s="70"/>
      <c r="AE398" s="70"/>
      <c r="AF398" s="45"/>
      <c r="AG398" s="71"/>
      <c r="AH398" s="71"/>
      <c r="AI398" s="45"/>
      <c r="AJ398" s="45"/>
      <c r="AK398" s="45"/>
      <c r="AL398" s="45"/>
      <c r="AM398" s="45"/>
      <c r="AN398" s="45"/>
    </row>
    <row r="399">
      <c r="A399" s="45"/>
      <c r="B399" s="45"/>
      <c r="C399" s="45"/>
      <c r="D399" s="45"/>
      <c r="E399" s="45"/>
      <c r="F399" s="45"/>
      <c r="G399" s="69"/>
      <c r="H399" s="45"/>
      <c r="I399" s="45"/>
      <c r="J399" s="69"/>
      <c r="K399" s="45"/>
      <c r="L399" s="45"/>
      <c r="M399" s="45"/>
      <c r="N399" s="69"/>
      <c r="O399" s="45"/>
      <c r="P399" s="45"/>
      <c r="Q399" s="69"/>
      <c r="R399" s="45"/>
      <c r="S399" s="45"/>
      <c r="T399" s="69"/>
      <c r="U399" s="45"/>
      <c r="V399" s="45"/>
      <c r="W399" s="45"/>
      <c r="X399" s="45"/>
      <c r="Y399" s="69"/>
      <c r="Z399" s="45"/>
      <c r="AA399" s="45"/>
      <c r="AB399" s="70"/>
      <c r="AC399" s="70"/>
      <c r="AD399" s="70"/>
      <c r="AE399" s="70"/>
      <c r="AF399" s="45"/>
      <c r="AG399" s="71"/>
      <c r="AH399" s="71"/>
      <c r="AI399" s="45"/>
      <c r="AJ399" s="45"/>
      <c r="AK399" s="45"/>
      <c r="AL399" s="45"/>
      <c r="AM399" s="45"/>
      <c r="AN399" s="45"/>
    </row>
    <row r="400">
      <c r="A400" s="45"/>
      <c r="B400" s="45"/>
      <c r="C400" s="45"/>
      <c r="D400" s="45"/>
      <c r="E400" s="45"/>
      <c r="F400" s="45"/>
      <c r="G400" s="69"/>
      <c r="H400" s="45"/>
      <c r="I400" s="45"/>
      <c r="J400" s="69"/>
      <c r="K400" s="45"/>
      <c r="L400" s="45"/>
      <c r="M400" s="45"/>
      <c r="N400" s="69"/>
      <c r="O400" s="45"/>
      <c r="P400" s="45"/>
      <c r="Q400" s="69"/>
      <c r="R400" s="45"/>
      <c r="S400" s="45"/>
      <c r="T400" s="69"/>
      <c r="U400" s="45"/>
      <c r="V400" s="45"/>
      <c r="W400" s="45"/>
      <c r="X400" s="45"/>
      <c r="Y400" s="69"/>
      <c r="Z400" s="45"/>
      <c r="AA400" s="45"/>
      <c r="AB400" s="70"/>
      <c r="AC400" s="70"/>
      <c r="AD400" s="70"/>
      <c r="AE400" s="70"/>
      <c r="AF400" s="45"/>
      <c r="AG400" s="71"/>
      <c r="AH400" s="71"/>
      <c r="AI400" s="45"/>
      <c r="AJ400" s="45"/>
      <c r="AK400" s="45"/>
      <c r="AL400" s="45"/>
      <c r="AM400" s="45"/>
      <c r="AN400" s="45"/>
    </row>
    <row r="401">
      <c r="A401" s="45"/>
      <c r="B401" s="45"/>
      <c r="C401" s="45"/>
      <c r="D401" s="45"/>
      <c r="E401" s="45"/>
      <c r="F401" s="45"/>
      <c r="G401" s="69"/>
      <c r="H401" s="45"/>
      <c r="I401" s="45"/>
      <c r="J401" s="69"/>
      <c r="K401" s="45"/>
      <c r="L401" s="45"/>
      <c r="M401" s="45"/>
      <c r="N401" s="69"/>
      <c r="O401" s="45"/>
      <c r="P401" s="45"/>
      <c r="Q401" s="69"/>
      <c r="R401" s="45"/>
      <c r="S401" s="45"/>
      <c r="T401" s="69"/>
      <c r="U401" s="45"/>
      <c r="V401" s="45"/>
      <c r="W401" s="45"/>
      <c r="X401" s="45"/>
      <c r="Y401" s="69"/>
      <c r="Z401" s="45"/>
      <c r="AA401" s="45"/>
      <c r="AB401" s="70"/>
      <c r="AC401" s="70"/>
      <c r="AD401" s="70"/>
      <c r="AE401" s="70"/>
      <c r="AF401" s="45"/>
      <c r="AG401" s="71"/>
      <c r="AH401" s="71"/>
      <c r="AI401" s="45"/>
      <c r="AJ401" s="45"/>
      <c r="AK401" s="45"/>
      <c r="AL401" s="45"/>
      <c r="AM401" s="45"/>
      <c r="AN401" s="45"/>
    </row>
    <row r="402">
      <c r="A402" s="45"/>
      <c r="B402" s="45"/>
      <c r="C402" s="45"/>
      <c r="D402" s="45"/>
      <c r="E402" s="45"/>
      <c r="F402" s="45"/>
      <c r="G402" s="69"/>
      <c r="H402" s="45"/>
      <c r="I402" s="45"/>
      <c r="J402" s="69"/>
      <c r="K402" s="45"/>
      <c r="L402" s="45"/>
      <c r="M402" s="45"/>
      <c r="N402" s="69"/>
      <c r="O402" s="45"/>
      <c r="P402" s="45"/>
      <c r="Q402" s="69"/>
      <c r="R402" s="45"/>
      <c r="S402" s="45"/>
      <c r="T402" s="69"/>
      <c r="U402" s="45"/>
      <c r="V402" s="45"/>
      <c r="W402" s="45"/>
      <c r="X402" s="45"/>
      <c r="Y402" s="69"/>
      <c r="Z402" s="45"/>
      <c r="AA402" s="45"/>
      <c r="AB402" s="70"/>
      <c r="AC402" s="70"/>
      <c r="AD402" s="70"/>
      <c r="AE402" s="70"/>
      <c r="AF402" s="45"/>
      <c r="AG402" s="71"/>
      <c r="AH402" s="71"/>
      <c r="AI402" s="45"/>
      <c r="AJ402" s="45"/>
      <c r="AK402" s="45"/>
      <c r="AL402" s="45"/>
      <c r="AM402" s="45"/>
      <c r="AN402" s="45"/>
    </row>
    <row r="403">
      <c r="A403" s="45"/>
      <c r="B403" s="45"/>
      <c r="C403" s="45"/>
      <c r="D403" s="45"/>
      <c r="E403" s="45"/>
      <c r="F403" s="45"/>
      <c r="G403" s="69"/>
      <c r="H403" s="45"/>
      <c r="I403" s="45"/>
      <c r="J403" s="69"/>
      <c r="K403" s="45"/>
      <c r="L403" s="45"/>
      <c r="M403" s="45"/>
      <c r="N403" s="69"/>
      <c r="O403" s="45"/>
      <c r="P403" s="45"/>
      <c r="Q403" s="69"/>
      <c r="R403" s="45"/>
      <c r="S403" s="45"/>
      <c r="T403" s="69"/>
      <c r="U403" s="45"/>
      <c r="V403" s="45"/>
      <c r="W403" s="45"/>
      <c r="X403" s="45"/>
      <c r="Y403" s="69"/>
      <c r="Z403" s="45"/>
      <c r="AA403" s="45"/>
      <c r="AB403" s="70"/>
      <c r="AC403" s="70"/>
      <c r="AD403" s="70"/>
      <c r="AE403" s="70"/>
      <c r="AF403" s="45"/>
      <c r="AG403" s="71"/>
      <c r="AH403" s="71"/>
      <c r="AI403" s="45"/>
      <c r="AJ403" s="45"/>
      <c r="AK403" s="45"/>
      <c r="AL403" s="45"/>
      <c r="AM403" s="45"/>
      <c r="AN403" s="45"/>
    </row>
    <row r="404">
      <c r="A404" s="45"/>
      <c r="B404" s="45"/>
      <c r="C404" s="45"/>
      <c r="D404" s="45"/>
      <c r="E404" s="45"/>
      <c r="F404" s="45"/>
      <c r="G404" s="69"/>
      <c r="H404" s="45"/>
      <c r="I404" s="45"/>
      <c r="J404" s="69"/>
      <c r="K404" s="45"/>
      <c r="L404" s="45"/>
      <c r="M404" s="45"/>
      <c r="N404" s="69"/>
      <c r="O404" s="45"/>
      <c r="P404" s="45"/>
      <c r="Q404" s="69"/>
      <c r="R404" s="45"/>
      <c r="S404" s="45"/>
      <c r="T404" s="69"/>
      <c r="U404" s="45"/>
      <c r="V404" s="45"/>
      <c r="W404" s="45"/>
      <c r="X404" s="45"/>
      <c r="Y404" s="69"/>
      <c r="Z404" s="45"/>
      <c r="AA404" s="45"/>
      <c r="AB404" s="70"/>
      <c r="AC404" s="70"/>
      <c r="AD404" s="70"/>
      <c r="AE404" s="70"/>
      <c r="AF404" s="45"/>
      <c r="AG404" s="71"/>
      <c r="AH404" s="71"/>
      <c r="AI404" s="45"/>
      <c r="AJ404" s="45"/>
      <c r="AK404" s="45"/>
      <c r="AL404" s="45"/>
      <c r="AM404" s="45"/>
      <c r="AN404" s="45"/>
    </row>
    <row r="405">
      <c r="A405" s="45"/>
      <c r="B405" s="45"/>
      <c r="C405" s="45"/>
      <c r="D405" s="45"/>
      <c r="E405" s="45"/>
      <c r="F405" s="45"/>
      <c r="G405" s="69"/>
      <c r="H405" s="45"/>
      <c r="I405" s="45"/>
      <c r="J405" s="69"/>
      <c r="K405" s="45"/>
      <c r="L405" s="45"/>
      <c r="M405" s="45"/>
      <c r="N405" s="69"/>
      <c r="O405" s="45"/>
      <c r="P405" s="45"/>
      <c r="Q405" s="69"/>
      <c r="R405" s="45"/>
      <c r="S405" s="45"/>
      <c r="T405" s="69"/>
      <c r="U405" s="45"/>
      <c r="V405" s="45"/>
      <c r="W405" s="45"/>
      <c r="X405" s="45"/>
      <c r="Y405" s="69"/>
      <c r="Z405" s="45"/>
      <c r="AA405" s="45"/>
      <c r="AB405" s="70"/>
      <c r="AC405" s="70"/>
      <c r="AD405" s="70"/>
      <c r="AE405" s="70"/>
      <c r="AF405" s="45"/>
      <c r="AG405" s="71"/>
      <c r="AH405" s="71"/>
      <c r="AI405" s="45"/>
      <c r="AJ405" s="45"/>
      <c r="AK405" s="45"/>
      <c r="AL405" s="45"/>
      <c r="AM405" s="45"/>
      <c r="AN405" s="45"/>
    </row>
    <row r="406">
      <c r="A406" s="45"/>
      <c r="B406" s="45"/>
      <c r="C406" s="45"/>
      <c r="D406" s="45"/>
      <c r="E406" s="45"/>
      <c r="F406" s="45"/>
      <c r="G406" s="69"/>
      <c r="H406" s="45"/>
      <c r="I406" s="45"/>
      <c r="J406" s="69"/>
      <c r="K406" s="45"/>
      <c r="L406" s="45"/>
      <c r="M406" s="45"/>
      <c r="N406" s="69"/>
      <c r="O406" s="45"/>
      <c r="P406" s="45"/>
      <c r="Q406" s="69"/>
      <c r="R406" s="45"/>
      <c r="S406" s="45"/>
      <c r="T406" s="69"/>
      <c r="U406" s="45"/>
      <c r="V406" s="45"/>
      <c r="W406" s="45"/>
      <c r="X406" s="45"/>
      <c r="Y406" s="69"/>
      <c r="Z406" s="45"/>
      <c r="AA406" s="45"/>
      <c r="AB406" s="70"/>
      <c r="AC406" s="70"/>
      <c r="AD406" s="70"/>
      <c r="AE406" s="70"/>
      <c r="AF406" s="45"/>
      <c r="AG406" s="71"/>
      <c r="AH406" s="71"/>
      <c r="AI406" s="45"/>
      <c r="AJ406" s="45"/>
      <c r="AK406" s="45"/>
      <c r="AL406" s="45"/>
      <c r="AM406" s="45"/>
      <c r="AN406" s="45"/>
    </row>
    <row r="407">
      <c r="A407" s="45"/>
      <c r="B407" s="45"/>
      <c r="C407" s="45"/>
      <c r="D407" s="45"/>
      <c r="E407" s="45"/>
      <c r="F407" s="45"/>
      <c r="G407" s="69"/>
      <c r="H407" s="45"/>
      <c r="I407" s="45"/>
      <c r="J407" s="69"/>
      <c r="K407" s="45"/>
      <c r="L407" s="45"/>
      <c r="M407" s="45"/>
      <c r="N407" s="69"/>
      <c r="O407" s="45"/>
      <c r="P407" s="45"/>
      <c r="Q407" s="69"/>
      <c r="R407" s="45"/>
      <c r="S407" s="45"/>
      <c r="T407" s="69"/>
      <c r="U407" s="45"/>
      <c r="V407" s="45"/>
      <c r="W407" s="45"/>
      <c r="X407" s="45"/>
      <c r="Y407" s="69"/>
      <c r="Z407" s="45"/>
      <c r="AA407" s="45"/>
      <c r="AB407" s="70"/>
      <c r="AC407" s="70"/>
      <c r="AD407" s="70"/>
      <c r="AE407" s="70"/>
      <c r="AF407" s="45"/>
      <c r="AG407" s="71"/>
      <c r="AH407" s="71"/>
      <c r="AI407" s="45"/>
      <c r="AJ407" s="45"/>
      <c r="AK407" s="45"/>
      <c r="AL407" s="45"/>
      <c r="AM407" s="45"/>
      <c r="AN407" s="45"/>
    </row>
    <row r="408">
      <c r="A408" s="45"/>
      <c r="B408" s="45"/>
      <c r="C408" s="45"/>
      <c r="D408" s="45"/>
      <c r="E408" s="45"/>
      <c r="F408" s="45"/>
      <c r="G408" s="69"/>
      <c r="H408" s="45"/>
      <c r="I408" s="45"/>
      <c r="J408" s="69"/>
      <c r="K408" s="45"/>
      <c r="L408" s="45"/>
      <c r="M408" s="45"/>
      <c r="N408" s="69"/>
      <c r="O408" s="45"/>
      <c r="P408" s="45"/>
      <c r="Q408" s="69"/>
      <c r="R408" s="45"/>
      <c r="S408" s="45"/>
      <c r="T408" s="69"/>
      <c r="U408" s="45"/>
      <c r="V408" s="45"/>
      <c r="W408" s="45"/>
      <c r="X408" s="45"/>
      <c r="Y408" s="69"/>
      <c r="Z408" s="45"/>
      <c r="AA408" s="45"/>
      <c r="AB408" s="70"/>
      <c r="AC408" s="70"/>
      <c r="AD408" s="70"/>
      <c r="AE408" s="70"/>
      <c r="AF408" s="45"/>
      <c r="AG408" s="71"/>
      <c r="AH408" s="71"/>
      <c r="AI408" s="45"/>
      <c r="AJ408" s="45"/>
      <c r="AK408" s="45"/>
      <c r="AL408" s="45"/>
      <c r="AM408" s="45"/>
      <c r="AN408" s="45"/>
    </row>
    <row r="409">
      <c r="A409" s="45"/>
      <c r="B409" s="45"/>
      <c r="C409" s="45"/>
      <c r="D409" s="45"/>
      <c r="E409" s="45"/>
      <c r="F409" s="45"/>
      <c r="G409" s="69"/>
      <c r="H409" s="45"/>
      <c r="I409" s="45"/>
      <c r="J409" s="69"/>
      <c r="K409" s="45"/>
      <c r="L409" s="45"/>
      <c r="M409" s="45"/>
      <c r="N409" s="69"/>
      <c r="O409" s="45"/>
      <c r="P409" s="45"/>
      <c r="Q409" s="69"/>
      <c r="R409" s="45"/>
      <c r="S409" s="45"/>
      <c r="T409" s="69"/>
      <c r="U409" s="45"/>
      <c r="V409" s="45"/>
      <c r="W409" s="45"/>
      <c r="X409" s="45"/>
      <c r="Y409" s="69"/>
      <c r="Z409" s="45"/>
      <c r="AA409" s="45"/>
      <c r="AB409" s="70"/>
      <c r="AC409" s="70"/>
      <c r="AD409" s="70"/>
      <c r="AE409" s="70"/>
      <c r="AF409" s="45"/>
      <c r="AG409" s="71"/>
      <c r="AH409" s="71"/>
      <c r="AI409" s="45"/>
      <c r="AJ409" s="45"/>
      <c r="AK409" s="45"/>
      <c r="AL409" s="45"/>
      <c r="AM409" s="45"/>
      <c r="AN409" s="45"/>
    </row>
    <row r="410">
      <c r="A410" s="45"/>
      <c r="B410" s="45"/>
      <c r="C410" s="45"/>
      <c r="D410" s="45"/>
      <c r="E410" s="45"/>
      <c r="F410" s="45"/>
      <c r="G410" s="69"/>
      <c r="H410" s="45"/>
      <c r="I410" s="45"/>
      <c r="J410" s="69"/>
      <c r="K410" s="45"/>
      <c r="L410" s="45"/>
      <c r="M410" s="45"/>
      <c r="N410" s="69"/>
      <c r="O410" s="45"/>
      <c r="P410" s="45"/>
      <c r="Q410" s="69"/>
      <c r="R410" s="45"/>
      <c r="S410" s="45"/>
      <c r="T410" s="69"/>
      <c r="U410" s="45"/>
      <c r="V410" s="45"/>
      <c r="W410" s="45"/>
      <c r="X410" s="45"/>
      <c r="Y410" s="69"/>
      <c r="Z410" s="45"/>
      <c r="AA410" s="45"/>
      <c r="AB410" s="70"/>
      <c r="AC410" s="70"/>
      <c r="AD410" s="70"/>
      <c r="AE410" s="70"/>
      <c r="AF410" s="45"/>
      <c r="AG410" s="71"/>
      <c r="AH410" s="71"/>
      <c r="AI410" s="45"/>
      <c r="AJ410" s="45"/>
      <c r="AK410" s="45"/>
      <c r="AL410" s="45"/>
      <c r="AM410" s="45"/>
      <c r="AN410" s="45"/>
    </row>
    <row r="411">
      <c r="A411" s="45"/>
      <c r="B411" s="45"/>
      <c r="C411" s="45"/>
      <c r="D411" s="45"/>
      <c r="E411" s="45"/>
      <c r="F411" s="45"/>
      <c r="G411" s="69"/>
      <c r="H411" s="45"/>
      <c r="I411" s="45"/>
      <c r="J411" s="69"/>
      <c r="K411" s="45"/>
      <c r="L411" s="45"/>
      <c r="M411" s="45"/>
      <c r="N411" s="69"/>
      <c r="O411" s="45"/>
      <c r="P411" s="45"/>
      <c r="Q411" s="69"/>
      <c r="R411" s="45"/>
      <c r="S411" s="45"/>
      <c r="T411" s="69"/>
      <c r="U411" s="45"/>
      <c r="V411" s="45"/>
      <c r="W411" s="45"/>
      <c r="X411" s="45"/>
      <c r="Y411" s="69"/>
      <c r="Z411" s="45"/>
      <c r="AA411" s="45"/>
      <c r="AB411" s="70"/>
      <c r="AC411" s="70"/>
      <c r="AD411" s="70"/>
      <c r="AE411" s="70"/>
      <c r="AF411" s="45"/>
      <c r="AG411" s="71"/>
      <c r="AH411" s="71"/>
      <c r="AI411" s="45"/>
      <c r="AJ411" s="45"/>
      <c r="AK411" s="45"/>
      <c r="AL411" s="45"/>
      <c r="AM411" s="45"/>
      <c r="AN411" s="45"/>
    </row>
    <row r="412">
      <c r="A412" s="45"/>
      <c r="B412" s="45"/>
      <c r="C412" s="45"/>
      <c r="D412" s="45"/>
      <c r="E412" s="45"/>
      <c r="F412" s="45"/>
      <c r="G412" s="69"/>
      <c r="H412" s="45"/>
      <c r="I412" s="45"/>
      <c r="J412" s="69"/>
      <c r="K412" s="45"/>
      <c r="L412" s="45"/>
      <c r="M412" s="45"/>
      <c r="N412" s="69"/>
      <c r="O412" s="45"/>
      <c r="P412" s="45"/>
      <c r="Q412" s="69"/>
      <c r="R412" s="45"/>
      <c r="S412" s="45"/>
      <c r="T412" s="69"/>
      <c r="U412" s="45"/>
      <c r="V412" s="45"/>
      <c r="W412" s="45"/>
      <c r="X412" s="45"/>
      <c r="Y412" s="69"/>
      <c r="Z412" s="45"/>
      <c r="AA412" s="45"/>
      <c r="AB412" s="70"/>
      <c r="AC412" s="70"/>
      <c r="AD412" s="70"/>
      <c r="AE412" s="70"/>
      <c r="AF412" s="45"/>
      <c r="AG412" s="71"/>
      <c r="AH412" s="71"/>
      <c r="AI412" s="45"/>
      <c r="AJ412" s="45"/>
      <c r="AK412" s="45"/>
      <c r="AL412" s="45"/>
      <c r="AM412" s="45"/>
      <c r="AN412" s="45"/>
    </row>
    <row r="413">
      <c r="A413" s="45"/>
      <c r="B413" s="45"/>
      <c r="C413" s="45"/>
      <c r="D413" s="45"/>
      <c r="E413" s="45"/>
      <c r="F413" s="45"/>
      <c r="G413" s="69"/>
      <c r="H413" s="45"/>
      <c r="I413" s="45"/>
      <c r="J413" s="69"/>
      <c r="K413" s="45"/>
      <c r="L413" s="45"/>
      <c r="M413" s="45"/>
      <c r="N413" s="69"/>
      <c r="O413" s="45"/>
      <c r="P413" s="45"/>
      <c r="Q413" s="69"/>
      <c r="R413" s="45"/>
      <c r="S413" s="45"/>
      <c r="T413" s="69"/>
      <c r="U413" s="45"/>
      <c r="V413" s="45"/>
      <c r="W413" s="45"/>
      <c r="X413" s="45"/>
      <c r="Y413" s="69"/>
      <c r="Z413" s="45"/>
      <c r="AA413" s="45"/>
      <c r="AB413" s="70"/>
      <c r="AC413" s="70"/>
      <c r="AD413" s="70"/>
      <c r="AE413" s="70"/>
      <c r="AF413" s="45"/>
      <c r="AG413" s="71"/>
      <c r="AH413" s="71"/>
      <c r="AI413" s="45"/>
      <c r="AJ413" s="45"/>
      <c r="AK413" s="45"/>
      <c r="AL413" s="45"/>
      <c r="AM413" s="45"/>
      <c r="AN413" s="45"/>
    </row>
    <row r="414">
      <c r="A414" s="45"/>
      <c r="B414" s="45"/>
      <c r="C414" s="45"/>
      <c r="D414" s="45"/>
      <c r="E414" s="45"/>
      <c r="F414" s="45"/>
      <c r="G414" s="69"/>
      <c r="H414" s="45"/>
      <c r="I414" s="45"/>
      <c r="J414" s="69"/>
      <c r="K414" s="45"/>
      <c r="L414" s="45"/>
      <c r="M414" s="45"/>
      <c r="N414" s="69"/>
      <c r="O414" s="45"/>
      <c r="P414" s="45"/>
      <c r="Q414" s="69"/>
      <c r="R414" s="45"/>
      <c r="S414" s="45"/>
      <c r="T414" s="69"/>
      <c r="U414" s="45"/>
      <c r="V414" s="45"/>
      <c r="W414" s="45"/>
      <c r="X414" s="45"/>
      <c r="Y414" s="69"/>
      <c r="Z414" s="45"/>
      <c r="AA414" s="45"/>
      <c r="AB414" s="70"/>
      <c r="AC414" s="70"/>
      <c r="AD414" s="70"/>
      <c r="AE414" s="70"/>
      <c r="AF414" s="45"/>
      <c r="AG414" s="71"/>
      <c r="AH414" s="71"/>
      <c r="AI414" s="45"/>
      <c r="AJ414" s="45"/>
      <c r="AK414" s="45"/>
      <c r="AL414" s="45"/>
      <c r="AM414" s="45"/>
      <c r="AN414" s="45"/>
    </row>
    <row r="415">
      <c r="A415" s="45"/>
      <c r="B415" s="45"/>
      <c r="C415" s="45"/>
      <c r="D415" s="45"/>
      <c r="E415" s="45"/>
      <c r="F415" s="45"/>
      <c r="G415" s="69"/>
      <c r="H415" s="45"/>
      <c r="I415" s="45"/>
      <c r="J415" s="69"/>
      <c r="K415" s="45"/>
      <c r="L415" s="45"/>
      <c r="M415" s="45"/>
      <c r="N415" s="69"/>
      <c r="O415" s="45"/>
      <c r="P415" s="45"/>
      <c r="Q415" s="69"/>
      <c r="R415" s="45"/>
      <c r="S415" s="45"/>
      <c r="T415" s="69"/>
      <c r="U415" s="45"/>
      <c r="V415" s="45"/>
      <c r="W415" s="45"/>
      <c r="X415" s="45"/>
      <c r="Y415" s="69"/>
      <c r="Z415" s="45"/>
      <c r="AA415" s="45"/>
      <c r="AB415" s="70"/>
      <c r="AC415" s="70"/>
      <c r="AD415" s="70"/>
      <c r="AE415" s="70"/>
      <c r="AF415" s="45"/>
      <c r="AG415" s="71"/>
      <c r="AH415" s="71"/>
      <c r="AI415" s="45"/>
      <c r="AJ415" s="45"/>
      <c r="AK415" s="45"/>
      <c r="AL415" s="45"/>
      <c r="AM415" s="45"/>
      <c r="AN415" s="45"/>
    </row>
    <row r="416">
      <c r="A416" s="45"/>
      <c r="B416" s="45"/>
      <c r="C416" s="45"/>
      <c r="D416" s="45"/>
      <c r="E416" s="45"/>
      <c r="F416" s="45"/>
      <c r="G416" s="69"/>
      <c r="H416" s="45"/>
      <c r="I416" s="45"/>
      <c r="J416" s="69"/>
      <c r="K416" s="45"/>
      <c r="L416" s="45"/>
      <c r="M416" s="45"/>
      <c r="N416" s="69"/>
      <c r="O416" s="45"/>
      <c r="P416" s="45"/>
      <c r="Q416" s="69"/>
      <c r="R416" s="45"/>
      <c r="S416" s="45"/>
      <c r="T416" s="69"/>
      <c r="U416" s="45"/>
      <c r="V416" s="45"/>
      <c r="W416" s="45"/>
      <c r="X416" s="45"/>
      <c r="Y416" s="69"/>
      <c r="Z416" s="45"/>
      <c r="AA416" s="45"/>
      <c r="AB416" s="70"/>
      <c r="AC416" s="70"/>
      <c r="AD416" s="70"/>
      <c r="AE416" s="70"/>
      <c r="AF416" s="45"/>
      <c r="AG416" s="71"/>
      <c r="AH416" s="71"/>
      <c r="AI416" s="45"/>
      <c r="AJ416" s="45"/>
      <c r="AK416" s="45"/>
      <c r="AL416" s="45"/>
      <c r="AM416" s="45"/>
      <c r="AN416" s="45"/>
    </row>
    <row r="417">
      <c r="A417" s="45"/>
      <c r="B417" s="45"/>
      <c r="C417" s="45"/>
      <c r="D417" s="45"/>
      <c r="E417" s="45"/>
      <c r="F417" s="45"/>
      <c r="G417" s="69"/>
      <c r="H417" s="45"/>
      <c r="I417" s="45"/>
      <c r="J417" s="69"/>
      <c r="K417" s="45"/>
      <c r="L417" s="45"/>
      <c r="M417" s="45"/>
      <c r="N417" s="69"/>
      <c r="O417" s="45"/>
      <c r="P417" s="45"/>
      <c r="Q417" s="69"/>
      <c r="R417" s="45"/>
      <c r="S417" s="45"/>
      <c r="T417" s="69"/>
      <c r="U417" s="45"/>
      <c r="V417" s="45"/>
      <c r="W417" s="45"/>
      <c r="X417" s="45"/>
      <c r="Y417" s="69"/>
      <c r="Z417" s="45"/>
      <c r="AA417" s="45"/>
      <c r="AB417" s="70"/>
      <c r="AC417" s="70"/>
      <c r="AD417" s="70"/>
      <c r="AE417" s="70"/>
      <c r="AF417" s="45"/>
      <c r="AG417" s="71"/>
      <c r="AH417" s="71"/>
      <c r="AI417" s="45"/>
      <c r="AJ417" s="45"/>
      <c r="AK417" s="45"/>
      <c r="AL417" s="45"/>
      <c r="AM417" s="45"/>
      <c r="AN417" s="45"/>
    </row>
    <row r="418">
      <c r="A418" s="45"/>
      <c r="B418" s="45"/>
      <c r="C418" s="45"/>
      <c r="D418" s="45"/>
      <c r="E418" s="45"/>
      <c r="F418" s="45"/>
      <c r="G418" s="69"/>
      <c r="H418" s="45"/>
      <c r="I418" s="45"/>
      <c r="J418" s="69"/>
      <c r="K418" s="45"/>
      <c r="L418" s="45"/>
      <c r="M418" s="45"/>
      <c r="N418" s="69"/>
      <c r="O418" s="45"/>
      <c r="P418" s="45"/>
      <c r="Q418" s="69"/>
      <c r="R418" s="45"/>
      <c r="S418" s="45"/>
      <c r="T418" s="69"/>
      <c r="U418" s="45"/>
      <c r="V418" s="45"/>
      <c r="W418" s="45"/>
      <c r="X418" s="45"/>
      <c r="Y418" s="69"/>
      <c r="Z418" s="45"/>
      <c r="AA418" s="45"/>
      <c r="AB418" s="70"/>
      <c r="AC418" s="70"/>
      <c r="AD418" s="70"/>
      <c r="AE418" s="70"/>
      <c r="AF418" s="45"/>
      <c r="AG418" s="71"/>
      <c r="AH418" s="71"/>
      <c r="AI418" s="45"/>
      <c r="AJ418" s="45"/>
      <c r="AK418" s="45"/>
      <c r="AL418" s="45"/>
      <c r="AM418" s="45"/>
      <c r="AN418" s="45"/>
    </row>
    <row r="419">
      <c r="A419" s="45"/>
      <c r="B419" s="45"/>
      <c r="C419" s="45"/>
      <c r="D419" s="45"/>
      <c r="E419" s="45"/>
      <c r="F419" s="45"/>
      <c r="G419" s="69"/>
      <c r="H419" s="45"/>
      <c r="I419" s="45"/>
      <c r="J419" s="69"/>
      <c r="K419" s="45"/>
      <c r="L419" s="45"/>
      <c r="M419" s="45"/>
      <c r="N419" s="69"/>
      <c r="O419" s="45"/>
      <c r="P419" s="45"/>
      <c r="Q419" s="69"/>
      <c r="R419" s="45"/>
      <c r="S419" s="45"/>
      <c r="T419" s="69"/>
      <c r="U419" s="45"/>
      <c r="V419" s="45"/>
      <c r="W419" s="45"/>
      <c r="X419" s="45"/>
      <c r="Y419" s="69"/>
      <c r="Z419" s="45"/>
      <c r="AA419" s="45"/>
      <c r="AB419" s="70"/>
      <c r="AC419" s="70"/>
      <c r="AD419" s="70"/>
      <c r="AE419" s="70"/>
      <c r="AF419" s="45"/>
      <c r="AG419" s="71"/>
      <c r="AH419" s="71"/>
      <c r="AI419" s="45"/>
      <c r="AJ419" s="45"/>
      <c r="AK419" s="45"/>
      <c r="AL419" s="45"/>
      <c r="AM419" s="45"/>
      <c r="AN419" s="45"/>
    </row>
    <row r="420">
      <c r="A420" s="45"/>
      <c r="B420" s="45"/>
      <c r="C420" s="45"/>
      <c r="D420" s="45"/>
      <c r="E420" s="45"/>
      <c r="F420" s="45"/>
      <c r="G420" s="69"/>
      <c r="H420" s="45"/>
      <c r="I420" s="45"/>
      <c r="J420" s="69"/>
      <c r="K420" s="45"/>
      <c r="L420" s="45"/>
      <c r="M420" s="45"/>
      <c r="N420" s="69"/>
      <c r="O420" s="45"/>
      <c r="P420" s="45"/>
      <c r="Q420" s="69"/>
      <c r="R420" s="45"/>
      <c r="S420" s="45"/>
      <c r="T420" s="69"/>
      <c r="U420" s="45"/>
      <c r="V420" s="45"/>
      <c r="W420" s="45"/>
      <c r="X420" s="45"/>
      <c r="Y420" s="69"/>
      <c r="Z420" s="45"/>
      <c r="AA420" s="45"/>
      <c r="AB420" s="70"/>
      <c r="AC420" s="70"/>
      <c r="AD420" s="70"/>
      <c r="AE420" s="70"/>
      <c r="AF420" s="45"/>
      <c r="AG420" s="71"/>
      <c r="AH420" s="71"/>
      <c r="AI420" s="45"/>
      <c r="AJ420" s="45"/>
      <c r="AK420" s="45"/>
      <c r="AL420" s="45"/>
      <c r="AM420" s="45"/>
      <c r="AN420" s="45"/>
    </row>
    <row r="421">
      <c r="A421" s="45"/>
      <c r="B421" s="45"/>
      <c r="C421" s="45"/>
      <c r="D421" s="45"/>
      <c r="E421" s="45"/>
      <c r="F421" s="45"/>
      <c r="G421" s="69"/>
      <c r="H421" s="45"/>
      <c r="I421" s="45"/>
      <c r="J421" s="69"/>
      <c r="K421" s="45"/>
      <c r="L421" s="45"/>
      <c r="M421" s="45"/>
      <c r="N421" s="69"/>
      <c r="O421" s="45"/>
      <c r="P421" s="45"/>
      <c r="Q421" s="69"/>
      <c r="R421" s="45"/>
      <c r="S421" s="45"/>
      <c r="T421" s="69"/>
      <c r="U421" s="45"/>
      <c r="V421" s="45"/>
      <c r="W421" s="45"/>
      <c r="X421" s="45"/>
      <c r="Y421" s="69"/>
      <c r="Z421" s="45"/>
      <c r="AA421" s="45"/>
      <c r="AB421" s="70"/>
      <c r="AC421" s="70"/>
      <c r="AD421" s="70"/>
      <c r="AE421" s="70"/>
      <c r="AF421" s="45"/>
      <c r="AG421" s="71"/>
      <c r="AH421" s="71"/>
      <c r="AI421" s="45"/>
      <c r="AJ421" s="45"/>
      <c r="AK421" s="45"/>
      <c r="AL421" s="45"/>
      <c r="AM421" s="45"/>
      <c r="AN421" s="45"/>
    </row>
    <row r="422">
      <c r="A422" s="45"/>
      <c r="B422" s="45"/>
      <c r="C422" s="45"/>
      <c r="D422" s="45"/>
      <c r="E422" s="45"/>
      <c r="F422" s="45"/>
      <c r="G422" s="69"/>
      <c r="H422" s="45"/>
      <c r="I422" s="45"/>
      <c r="J422" s="69"/>
      <c r="K422" s="45"/>
      <c r="L422" s="45"/>
      <c r="M422" s="45"/>
      <c r="N422" s="69"/>
      <c r="O422" s="45"/>
      <c r="P422" s="45"/>
      <c r="Q422" s="69"/>
      <c r="R422" s="45"/>
      <c r="S422" s="45"/>
      <c r="T422" s="69"/>
      <c r="U422" s="45"/>
      <c r="V422" s="45"/>
      <c r="W422" s="45"/>
      <c r="X422" s="45"/>
      <c r="Y422" s="69"/>
      <c r="Z422" s="45"/>
      <c r="AA422" s="45"/>
      <c r="AB422" s="70"/>
      <c r="AC422" s="70"/>
      <c r="AD422" s="70"/>
      <c r="AE422" s="70"/>
      <c r="AF422" s="45"/>
      <c r="AG422" s="71"/>
      <c r="AH422" s="71"/>
      <c r="AI422" s="45"/>
      <c r="AJ422" s="45"/>
      <c r="AK422" s="45"/>
      <c r="AL422" s="45"/>
      <c r="AM422" s="45"/>
      <c r="AN422" s="45"/>
    </row>
    <row r="423">
      <c r="A423" s="45"/>
      <c r="B423" s="45"/>
      <c r="C423" s="45"/>
      <c r="D423" s="45"/>
      <c r="E423" s="45"/>
      <c r="F423" s="45"/>
      <c r="G423" s="69"/>
      <c r="H423" s="45"/>
      <c r="I423" s="45"/>
      <c r="J423" s="69"/>
      <c r="K423" s="45"/>
      <c r="L423" s="45"/>
      <c r="M423" s="45"/>
      <c r="N423" s="69"/>
      <c r="O423" s="45"/>
      <c r="P423" s="45"/>
      <c r="Q423" s="69"/>
      <c r="R423" s="45"/>
      <c r="S423" s="45"/>
      <c r="T423" s="69"/>
      <c r="U423" s="45"/>
      <c r="V423" s="45"/>
      <c r="W423" s="45"/>
      <c r="X423" s="45"/>
      <c r="Y423" s="69"/>
      <c r="Z423" s="45"/>
      <c r="AA423" s="45"/>
      <c r="AB423" s="70"/>
      <c r="AC423" s="70"/>
      <c r="AD423" s="70"/>
      <c r="AE423" s="70"/>
      <c r="AF423" s="45"/>
      <c r="AG423" s="71"/>
      <c r="AH423" s="71"/>
      <c r="AI423" s="45"/>
      <c r="AJ423" s="45"/>
      <c r="AK423" s="45"/>
      <c r="AL423" s="45"/>
      <c r="AM423" s="45"/>
      <c r="AN423" s="45"/>
    </row>
    <row r="424">
      <c r="A424" s="45"/>
      <c r="B424" s="45"/>
      <c r="C424" s="45"/>
      <c r="D424" s="45"/>
      <c r="E424" s="45"/>
      <c r="F424" s="45"/>
      <c r="G424" s="69"/>
      <c r="H424" s="45"/>
      <c r="I424" s="45"/>
      <c r="J424" s="69"/>
      <c r="K424" s="45"/>
      <c r="L424" s="45"/>
      <c r="M424" s="45"/>
      <c r="N424" s="69"/>
      <c r="O424" s="45"/>
      <c r="P424" s="45"/>
      <c r="Q424" s="69"/>
      <c r="R424" s="45"/>
      <c r="S424" s="45"/>
      <c r="T424" s="69"/>
      <c r="U424" s="45"/>
      <c r="V424" s="45"/>
      <c r="W424" s="45"/>
      <c r="X424" s="45"/>
      <c r="Y424" s="69"/>
      <c r="Z424" s="45"/>
      <c r="AA424" s="45"/>
      <c r="AB424" s="70"/>
      <c r="AC424" s="70"/>
      <c r="AD424" s="70"/>
      <c r="AE424" s="70"/>
      <c r="AF424" s="45"/>
      <c r="AG424" s="71"/>
      <c r="AH424" s="71"/>
      <c r="AI424" s="45"/>
      <c r="AJ424" s="45"/>
      <c r="AK424" s="45"/>
      <c r="AL424" s="45"/>
      <c r="AM424" s="45"/>
      <c r="AN424" s="45"/>
    </row>
    <row r="425">
      <c r="A425" s="45"/>
      <c r="B425" s="45"/>
      <c r="C425" s="45"/>
      <c r="D425" s="45"/>
      <c r="E425" s="45"/>
      <c r="F425" s="45"/>
      <c r="G425" s="69"/>
      <c r="H425" s="45"/>
      <c r="I425" s="45"/>
      <c r="J425" s="69"/>
      <c r="K425" s="45"/>
      <c r="L425" s="45"/>
      <c r="M425" s="45"/>
      <c r="N425" s="69"/>
      <c r="O425" s="45"/>
      <c r="P425" s="45"/>
      <c r="Q425" s="69"/>
      <c r="R425" s="45"/>
      <c r="S425" s="45"/>
      <c r="T425" s="69"/>
      <c r="U425" s="45"/>
      <c r="V425" s="45"/>
      <c r="W425" s="45"/>
      <c r="X425" s="45"/>
      <c r="Y425" s="69"/>
      <c r="Z425" s="45"/>
      <c r="AA425" s="45"/>
      <c r="AB425" s="70"/>
      <c r="AC425" s="70"/>
      <c r="AD425" s="70"/>
      <c r="AE425" s="70"/>
      <c r="AF425" s="45"/>
      <c r="AG425" s="71"/>
      <c r="AH425" s="71"/>
      <c r="AI425" s="45"/>
      <c r="AJ425" s="45"/>
      <c r="AK425" s="45"/>
      <c r="AL425" s="45"/>
      <c r="AM425" s="45"/>
      <c r="AN425" s="45"/>
    </row>
    <row r="426">
      <c r="A426" s="45"/>
      <c r="B426" s="45"/>
      <c r="C426" s="45"/>
      <c r="D426" s="45"/>
      <c r="E426" s="45"/>
      <c r="F426" s="45"/>
      <c r="G426" s="69"/>
      <c r="H426" s="45"/>
      <c r="I426" s="45"/>
      <c r="J426" s="69"/>
      <c r="K426" s="45"/>
      <c r="L426" s="45"/>
      <c r="M426" s="45"/>
      <c r="N426" s="69"/>
      <c r="O426" s="45"/>
      <c r="P426" s="45"/>
      <c r="Q426" s="69"/>
      <c r="R426" s="45"/>
      <c r="S426" s="45"/>
      <c r="T426" s="69"/>
      <c r="U426" s="45"/>
      <c r="V426" s="45"/>
      <c r="W426" s="45"/>
      <c r="X426" s="45"/>
      <c r="Y426" s="69"/>
      <c r="Z426" s="45"/>
      <c r="AA426" s="45"/>
      <c r="AB426" s="70"/>
      <c r="AC426" s="70"/>
      <c r="AD426" s="70"/>
      <c r="AE426" s="70"/>
      <c r="AF426" s="45"/>
      <c r="AG426" s="71"/>
      <c r="AH426" s="71"/>
      <c r="AI426" s="45"/>
      <c r="AJ426" s="45"/>
      <c r="AK426" s="45"/>
      <c r="AL426" s="45"/>
      <c r="AM426" s="45"/>
      <c r="AN426" s="45"/>
    </row>
    <row r="427">
      <c r="A427" s="45"/>
      <c r="B427" s="45"/>
      <c r="C427" s="45"/>
      <c r="D427" s="45"/>
      <c r="E427" s="45"/>
      <c r="F427" s="45"/>
      <c r="G427" s="69"/>
      <c r="H427" s="45"/>
      <c r="I427" s="45"/>
      <c r="J427" s="69"/>
      <c r="K427" s="45"/>
      <c r="L427" s="45"/>
      <c r="M427" s="45"/>
      <c r="N427" s="69"/>
      <c r="O427" s="45"/>
      <c r="P427" s="45"/>
      <c r="Q427" s="69"/>
      <c r="R427" s="45"/>
      <c r="S427" s="45"/>
      <c r="T427" s="69"/>
      <c r="U427" s="45"/>
      <c r="V427" s="45"/>
      <c r="W427" s="45"/>
      <c r="X427" s="45"/>
      <c r="Y427" s="69"/>
      <c r="Z427" s="45"/>
      <c r="AA427" s="45"/>
      <c r="AB427" s="70"/>
      <c r="AC427" s="70"/>
      <c r="AD427" s="70"/>
      <c r="AE427" s="70"/>
      <c r="AF427" s="45"/>
      <c r="AG427" s="71"/>
      <c r="AH427" s="71"/>
      <c r="AI427" s="45"/>
      <c r="AJ427" s="45"/>
      <c r="AK427" s="45"/>
      <c r="AL427" s="45"/>
      <c r="AM427" s="45"/>
      <c r="AN427" s="45"/>
    </row>
    <row r="428">
      <c r="A428" s="45"/>
      <c r="B428" s="45"/>
      <c r="C428" s="45"/>
      <c r="D428" s="45"/>
      <c r="E428" s="45"/>
      <c r="F428" s="45"/>
      <c r="G428" s="69"/>
      <c r="H428" s="45"/>
      <c r="I428" s="45"/>
      <c r="J428" s="69"/>
      <c r="K428" s="45"/>
      <c r="L428" s="45"/>
      <c r="M428" s="45"/>
      <c r="N428" s="69"/>
      <c r="O428" s="45"/>
      <c r="P428" s="45"/>
      <c r="Q428" s="69"/>
      <c r="R428" s="45"/>
      <c r="S428" s="45"/>
      <c r="T428" s="69"/>
      <c r="U428" s="45"/>
      <c r="V428" s="45"/>
      <c r="W428" s="45"/>
      <c r="X428" s="45"/>
      <c r="Y428" s="69"/>
      <c r="Z428" s="45"/>
      <c r="AA428" s="45"/>
      <c r="AB428" s="70"/>
      <c r="AC428" s="70"/>
      <c r="AD428" s="70"/>
      <c r="AE428" s="70"/>
      <c r="AF428" s="45"/>
      <c r="AG428" s="71"/>
      <c r="AH428" s="71"/>
      <c r="AI428" s="45"/>
      <c r="AJ428" s="45"/>
      <c r="AK428" s="45"/>
      <c r="AL428" s="45"/>
      <c r="AM428" s="45"/>
      <c r="AN428" s="45"/>
    </row>
    <row r="429">
      <c r="A429" s="45"/>
      <c r="B429" s="45"/>
      <c r="C429" s="45"/>
      <c r="D429" s="45"/>
      <c r="E429" s="45"/>
      <c r="F429" s="45"/>
      <c r="G429" s="69"/>
      <c r="H429" s="45"/>
      <c r="I429" s="45"/>
      <c r="J429" s="69"/>
      <c r="K429" s="45"/>
      <c r="L429" s="45"/>
      <c r="M429" s="45"/>
      <c r="N429" s="69"/>
      <c r="O429" s="45"/>
      <c r="P429" s="45"/>
      <c r="Q429" s="69"/>
      <c r="R429" s="45"/>
      <c r="S429" s="45"/>
      <c r="T429" s="69"/>
      <c r="U429" s="45"/>
      <c r="V429" s="45"/>
      <c r="W429" s="45"/>
      <c r="X429" s="45"/>
      <c r="Y429" s="69"/>
      <c r="Z429" s="45"/>
      <c r="AA429" s="45"/>
      <c r="AB429" s="70"/>
      <c r="AC429" s="70"/>
      <c r="AD429" s="70"/>
      <c r="AE429" s="70"/>
      <c r="AF429" s="45"/>
      <c r="AG429" s="71"/>
      <c r="AH429" s="71"/>
      <c r="AI429" s="45"/>
      <c r="AJ429" s="45"/>
      <c r="AK429" s="45"/>
      <c r="AL429" s="45"/>
      <c r="AM429" s="45"/>
      <c r="AN429" s="45"/>
    </row>
    <row r="430">
      <c r="A430" s="45"/>
      <c r="B430" s="45"/>
      <c r="C430" s="45"/>
      <c r="D430" s="45"/>
      <c r="E430" s="45"/>
      <c r="F430" s="45"/>
      <c r="G430" s="69"/>
      <c r="H430" s="45"/>
      <c r="I430" s="45"/>
      <c r="J430" s="69"/>
      <c r="K430" s="45"/>
      <c r="L430" s="45"/>
      <c r="M430" s="45"/>
      <c r="N430" s="69"/>
      <c r="O430" s="45"/>
      <c r="P430" s="45"/>
      <c r="Q430" s="69"/>
      <c r="R430" s="45"/>
      <c r="S430" s="45"/>
      <c r="T430" s="69"/>
      <c r="U430" s="45"/>
      <c r="V430" s="45"/>
      <c r="W430" s="45"/>
      <c r="X430" s="45"/>
      <c r="Y430" s="69"/>
      <c r="Z430" s="45"/>
      <c r="AA430" s="45"/>
      <c r="AB430" s="70"/>
      <c r="AC430" s="70"/>
      <c r="AD430" s="70"/>
      <c r="AE430" s="70"/>
      <c r="AF430" s="45"/>
      <c r="AG430" s="71"/>
      <c r="AH430" s="71"/>
      <c r="AI430" s="45"/>
      <c r="AJ430" s="45"/>
      <c r="AK430" s="45"/>
      <c r="AL430" s="45"/>
      <c r="AM430" s="45"/>
      <c r="AN430" s="45"/>
    </row>
    <row r="431">
      <c r="A431" s="45"/>
      <c r="B431" s="45"/>
      <c r="C431" s="45"/>
      <c r="D431" s="45"/>
      <c r="E431" s="45"/>
      <c r="F431" s="45"/>
      <c r="G431" s="69"/>
      <c r="H431" s="45"/>
      <c r="I431" s="45"/>
      <c r="J431" s="69"/>
      <c r="K431" s="45"/>
      <c r="L431" s="45"/>
      <c r="M431" s="45"/>
      <c r="N431" s="69"/>
      <c r="O431" s="45"/>
      <c r="P431" s="45"/>
      <c r="Q431" s="69"/>
      <c r="R431" s="45"/>
      <c r="S431" s="45"/>
      <c r="T431" s="69"/>
      <c r="U431" s="45"/>
      <c r="V431" s="45"/>
      <c r="W431" s="45"/>
      <c r="X431" s="45"/>
      <c r="Y431" s="69"/>
      <c r="Z431" s="45"/>
      <c r="AA431" s="45"/>
      <c r="AB431" s="70"/>
      <c r="AC431" s="70"/>
      <c r="AD431" s="70"/>
      <c r="AE431" s="70"/>
      <c r="AF431" s="45"/>
      <c r="AG431" s="71"/>
      <c r="AH431" s="71"/>
      <c r="AI431" s="45"/>
      <c r="AJ431" s="45"/>
      <c r="AK431" s="45"/>
      <c r="AL431" s="45"/>
      <c r="AM431" s="45"/>
      <c r="AN431" s="45"/>
    </row>
    <row r="432">
      <c r="A432" s="45"/>
      <c r="B432" s="45"/>
      <c r="C432" s="45"/>
      <c r="D432" s="45"/>
      <c r="E432" s="45"/>
      <c r="F432" s="45"/>
      <c r="G432" s="69"/>
      <c r="H432" s="45"/>
      <c r="I432" s="45"/>
      <c r="J432" s="69"/>
      <c r="K432" s="45"/>
      <c r="L432" s="45"/>
      <c r="M432" s="45"/>
      <c r="N432" s="69"/>
      <c r="O432" s="45"/>
      <c r="P432" s="45"/>
      <c r="Q432" s="69"/>
      <c r="R432" s="45"/>
      <c r="S432" s="45"/>
      <c r="T432" s="69"/>
      <c r="U432" s="45"/>
      <c r="V432" s="45"/>
      <c r="W432" s="45"/>
      <c r="X432" s="45"/>
      <c r="Y432" s="69"/>
      <c r="Z432" s="45"/>
      <c r="AA432" s="45"/>
      <c r="AB432" s="70"/>
      <c r="AC432" s="70"/>
      <c r="AD432" s="70"/>
      <c r="AE432" s="70"/>
      <c r="AF432" s="45"/>
      <c r="AG432" s="71"/>
      <c r="AH432" s="71"/>
      <c r="AI432" s="45"/>
      <c r="AJ432" s="45"/>
      <c r="AK432" s="45"/>
      <c r="AL432" s="45"/>
      <c r="AM432" s="45"/>
      <c r="AN432" s="45"/>
    </row>
    <row r="433">
      <c r="A433" s="45"/>
      <c r="B433" s="45"/>
      <c r="C433" s="45"/>
      <c r="D433" s="45"/>
      <c r="E433" s="45"/>
      <c r="F433" s="45"/>
      <c r="G433" s="69"/>
      <c r="H433" s="45"/>
      <c r="I433" s="45"/>
      <c r="J433" s="69"/>
      <c r="K433" s="45"/>
      <c r="L433" s="45"/>
      <c r="M433" s="45"/>
      <c r="N433" s="69"/>
      <c r="O433" s="45"/>
      <c r="P433" s="45"/>
      <c r="Q433" s="69"/>
      <c r="R433" s="45"/>
      <c r="S433" s="45"/>
      <c r="T433" s="69"/>
      <c r="U433" s="45"/>
      <c r="V433" s="45"/>
      <c r="W433" s="45"/>
      <c r="X433" s="45"/>
      <c r="Y433" s="69"/>
      <c r="Z433" s="45"/>
      <c r="AA433" s="45"/>
      <c r="AB433" s="70"/>
      <c r="AC433" s="70"/>
      <c r="AD433" s="70"/>
      <c r="AE433" s="70"/>
      <c r="AF433" s="45"/>
      <c r="AG433" s="71"/>
      <c r="AH433" s="71"/>
      <c r="AI433" s="45"/>
      <c r="AJ433" s="45"/>
      <c r="AK433" s="45"/>
      <c r="AL433" s="45"/>
      <c r="AM433" s="45"/>
      <c r="AN433" s="45"/>
    </row>
    <row r="434">
      <c r="A434" s="45"/>
      <c r="B434" s="45"/>
      <c r="C434" s="45"/>
      <c r="D434" s="45"/>
      <c r="E434" s="45"/>
      <c r="F434" s="45"/>
      <c r="G434" s="69"/>
      <c r="H434" s="45"/>
      <c r="I434" s="45"/>
      <c r="J434" s="69"/>
      <c r="K434" s="45"/>
      <c r="L434" s="45"/>
      <c r="M434" s="45"/>
      <c r="N434" s="69"/>
      <c r="O434" s="45"/>
      <c r="P434" s="45"/>
      <c r="Q434" s="69"/>
      <c r="R434" s="45"/>
      <c r="S434" s="45"/>
      <c r="T434" s="69"/>
      <c r="U434" s="45"/>
      <c r="V434" s="45"/>
      <c r="W434" s="45"/>
      <c r="X434" s="45"/>
      <c r="Y434" s="69"/>
      <c r="Z434" s="45"/>
      <c r="AA434" s="45"/>
      <c r="AB434" s="70"/>
      <c r="AC434" s="70"/>
      <c r="AD434" s="70"/>
      <c r="AE434" s="70"/>
      <c r="AF434" s="45"/>
      <c r="AG434" s="71"/>
      <c r="AH434" s="71"/>
      <c r="AI434" s="45"/>
      <c r="AJ434" s="45"/>
      <c r="AK434" s="45"/>
      <c r="AL434" s="45"/>
      <c r="AM434" s="45"/>
      <c r="AN434" s="45"/>
    </row>
    <row r="435">
      <c r="A435" s="45"/>
      <c r="B435" s="45"/>
      <c r="C435" s="45"/>
      <c r="D435" s="45"/>
      <c r="E435" s="45"/>
      <c r="F435" s="45"/>
      <c r="G435" s="69"/>
      <c r="H435" s="45"/>
      <c r="I435" s="45"/>
      <c r="J435" s="69"/>
      <c r="K435" s="45"/>
      <c r="L435" s="45"/>
      <c r="M435" s="45"/>
      <c r="N435" s="69"/>
      <c r="O435" s="45"/>
      <c r="P435" s="45"/>
      <c r="Q435" s="69"/>
      <c r="R435" s="45"/>
      <c r="S435" s="45"/>
      <c r="T435" s="69"/>
      <c r="U435" s="45"/>
      <c r="V435" s="45"/>
      <c r="W435" s="45"/>
      <c r="X435" s="45"/>
      <c r="Y435" s="69"/>
      <c r="Z435" s="45"/>
      <c r="AA435" s="45"/>
      <c r="AB435" s="70"/>
      <c r="AC435" s="70"/>
      <c r="AD435" s="70"/>
      <c r="AE435" s="70"/>
      <c r="AF435" s="45"/>
      <c r="AG435" s="71"/>
      <c r="AH435" s="71"/>
      <c r="AI435" s="45"/>
      <c r="AJ435" s="45"/>
      <c r="AK435" s="45"/>
      <c r="AL435" s="45"/>
      <c r="AM435" s="45"/>
      <c r="AN435" s="45"/>
    </row>
    <row r="436">
      <c r="A436" s="45"/>
      <c r="B436" s="45"/>
      <c r="C436" s="45"/>
      <c r="D436" s="45"/>
      <c r="E436" s="45"/>
      <c r="F436" s="45"/>
      <c r="G436" s="69"/>
      <c r="H436" s="45"/>
      <c r="I436" s="45"/>
      <c r="J436" s="69"/>
      <c r="K436" s="45"/>
      <c r="L436" s="45"/>
      <c r="M436" s="45"/>
      <c r="N436" s="69"/>
      <c r="O436" s="45"/>
      <c r="P436" s="45"/>
      <c r="Q436" s="69"/>
      <c r="R436" s="45"/>
      <c r="S436" s="45"/>
      <c r="T436" s="69"/>
      <c r="U436" s="45"/>
      <c r="V436" s="45"/>
      <c r="W436" s="45"/>
      <c r="X436" s="45"/>
      <c r="Y436" s="69"/>
      <c r="Z436" s="45"/>
      <c r="AA436" s="45"/>
      <c r="AB436" s="70"/>
      <c r="AC436" s="70"/>
      <c r="AD436" s="70"/>
      <c r="AE436" s="70"/>
      <c r="AF436" s="45"/>
      <c r="AG436" s="71"/>
      <c r="AH436" s="71"/>
      <c r="AI436" s="45"/>
      <c r="AJ436" s="45"/>
      <c r="AK436" s="45"/>
      <c r="AL436" s="45"/>
      <c r="AM436" s="45"/>
      <c r="AN436" s="45"/>
    </row>
    <row r="437">
      <c r="A437" s="45"/>
      <c r="B437" s="45"/>
      <c r="C437" s="45"/>
      <c r="D437" s="45"/>
      <c r="E437" s="45"/>
      <c r="F437" s="45"/>
      <c r="G437" s="69"/>
      <c r="H437" s="45"/>
      <c r="I437" s="45"/>
      <c r="J437" s="69"/>
      <c r="K437" s="45"/>
      <c r="L437" s="45"/>
      <c r="M437" s="45"/>
      <c r="N437" s="69"/>
      <c r="O437" s="45"/>
      <c r="P437" s="45"/>
      <c r="Q437" s="69"/>
      <c r="R437" s="45"/>
      <c r="S437" s="45"/>
      <c r="T437" s="69"/>
      <c r="U437" s="45"/>
      <c r="V437" s="45"/>
      <c r="W437" s="45"/>
      <c r="X437" s="45"/>
      <c r="Y437" s="69"/>
      <c r="Z437" s="45"/>
      <c r="AA437" s="45"/>
      <c r="AB437" s="70"/>
      <c r="AC437" s="70"/>
      <c r="AD437" s="70"/>
      <c r="AE437" s="70"/>
      <c r="AF437" s="45"/>
      <c r="AG437" s="71"/>
      <c r="AH437" s="71"/>
      <c r="AI437" s="45"/>
      <c r="AJ437" s="45"/>
      <c r="AK437" s="45"/>
      <c r="AL437" s="45"/>
      <c r="AM437" s="45"/>
      <c r="AN437" s="45"/>
    </row>
    <row r="438">
      <c r="A438" s="45"/>
      <c r="B438" s="45"/>
      <c r="C438" s="45"/>
      <c r="D438" s="45"/>
      <c r="E438" s="45"/>
      <c r="F438" s="45"/>
      <c r="G438" s="69"/>
      <c r="H438" s="45"/>
      <c r="I438" s="45"/>
      <c r="J438" s="69"/>
      <c r="K438" s="45"/>
      <c r="L438" s="45"/>
      <c r="M438" s="45"/>
      <c r="N438" s="69"/>
      <c r="O438" s="45"/>
      <c r="P438" s="45"/>
      <c r="Q438" s="69"/>
      <c r="R438" s="45"/>
      <c r="S438" s="45"/>
      <c r="T438" s="69"/>
      <c r="U438" s="45"/>
      <c r="V438" s="45"/>
      <c r="W438" s="45"/>
      <c r="X438" s="45"/>
      <c r="Y438" s="69"/>
      <c r="Z438" s="45"/>
      <c r="AA438" s="45"/>
      <c r="AB438" s="70"/>
      <c r="AC438" s="70"/>
      <c r="AD438" s="70"/>
      <c r="AE438" s="70"/>
      <c r="AF438" s="45"/>
      <c r="AG438" s="71"/>
      <c r="AH438" s="71"/>
      <c r="AI438" s="45"/>
      <c r="AJ438" s="45"/>
      <c r="AK438" s="45"/>
      <c r="AL438" s="45"/>
      <c r="AM438" s="45"/>
      <c r="AN438" s="45"/>
    </row>
    <row r="439">
      <c r="A439" s="45"/>
      <c r="B439" s="45"/>
      <c r="C439" s="45"/>
      <c r="D439" s="45"/>
      <c r="E439" s="45"/>
      <c r="F439" s="45"/>
      <c r="G439" s="69"/>
      <c r="H439" s="45"/>
      <c r="I439" s="45"/>
      <c r="J439" s="69"/>
      <c r="K439" s="45"/>
      <c r="L439" s="45"/>
      <c r="M439" s="45"/>
      <c r="N439" s="69"/>
      <c r="O439" s="45"/>
      <c r="P439" s="45"/>
      <c r="Q439" s="69"/>
      <c r="R439" s="45"/>
      <c r="S439" s="45"/>
      <c r="T439" s="69"/>
      <c r="U439" s="45"/>
      <c r="V439" s="45"/>
      <c r="W439" s="45"/>
      <c r="X439" s="45"/>
      <c r="Y439" s="69"/>
      <c r="Z439" s="45"/>
      <c r="AA439" s="45"/>
      <c r="AB439" s="70"/>
      <c r="AC439" s="70"/>
      <c r="AD439" s="70"/>
      <c r="AE439" s="70"/>
      <c r="AF439" s="45"/>
      <c r="AG439" s="71"/>
      <c r="AH439" s="71"/>
      <c r="AI439" s="45"/>
      <c r="AJ439" s="45"/>
      <c r="AK439" s="45"/>
      <c r="AL439" s="45"/>
      <c r="AM439" s="45"/>
      <c r="AN439" s="45"/>
    </row>
    <row r="440">
      <c r="A440" s="45"/>
      <c r="B440" s="45"/>
      <c r="C440" s="45"/>
      <c r="D440" s="45"/>
      <c r="E440" s="45"/>
      <c r="F440" s="45"/>
      <c r="G440" s="69"/>
      <c r="H440" s="45"/>
      <c r="I440" s="45"/>
      <c r="J440" s="69"/>
      <c r="K440" s="45"/>
      <c r="L440" s="45"/>
      <c r="M440" s="45"/>
      <c r="N440" s="69"/>
      <c r="O440" s="45"/>
      <c r="P440" s="45"/>
      <c r="Q440" s="69"/>
      <c r="R440" s="45"/>
      <c r="S440" s="45"/>
      <c r="T440" s="69"/>
      <c r="U440" s="45"/>
      <c r="V440" s="45"/>
      <c r="W440" s="45"/>
      <c r="X440" s="45"/>
      <c r="Y440" s="69"/>
      <c r="Z440" s="45"/>
      <c r="AA440" s="45"/>
      <c r="AB440" s="70"/>
      <c r="AC440" s="70"/>
      <c r="AD440" s="70"/>
      <c r="AE440" s="70"/>
      <c r="AF440" s="45"/>
      <c r="AG440" s="71"/>
      <c r="AH440" s="71"/>
      <c r="AI440" s="45"/>
      <c r="AJ440" s="45"/>
      <c r="AK440" s="45"/>
      <c r="AL440" s="45"/>
      <c r="AM440" s="45"/>
      <c r="AN440" s="45"/>
    </row>
    <row r="441">
      <c r="A441" s="45"/>
      <c r="B441" s="45"/>
      <c r="C441" s="45"/>
      <c r="D441" s="45"/>
      <c r="E441" s="45"/>
      <c r="F441" s="45"/>
      <c r="G441" s="69"/>
      <c r="H441" s="45"/>
      <c r="I441" s="45"/>
      <c r="J441" s="69"/>
      <c r="K441" s="45"/>
      <c r="L441" s="45"/>
      <c r="M441" s="45"/>
      <c r="N441" s="69"/>
      <c r="O441" s="45"/>
      <c r="P441" s="45"/>
      <c r="Q441" s="69"/>
      <c r="R441" s="45"/>
      <c r="S441" s="45"/>
      <c r="T441" s="69"/>
      <c r="U441" s="45"/>
      <c r="V441" s="45"/>
      <c r="W441" s="45"/>
      <c r="X441" s="45"/>
      <c r="Y441" s="69"/>
      <c r="Z441" s="45"/>
      <c r="AA441" s="45"/>
      <c r="AB441" s="70"/>
      <c r="AC441" s="70"/>
      <c r="AD441" s="70"/>
      <c r="AE441" s="70"/>
      <c r="AF441" s="45"/>
      <c r="AG441" s="71"/>
      <c r="AH441" s="71"/>
      <c r="AI441" s="45"/>
      <c r="AJ441" s="45"/>
      <c r="AK441" s="45"/>
      <c r="AL441" s="45"/>
      <c r="AM441" s="45"/>
      <c r="AN441" s="45"/>
    </row>
    <row r="442">
      <c r="A442" s="45"/>
      <c r="B442" s="45"/>
      <c r="C442" s="45"/>
      <c r="D442" s="45"/>
      <c r="E442" s="45"/>
      <c r="F442" s="45"/>
      <c r="G442" s="69"/>
      <c r="H442" s="45"/>
      <c r="I442" s="45"/>
      <c r="J442" s="69"/>
      <c r="K442" s="45"/>
      <c r="L442" s="45"/>
      <c r="M442" s="45"/>
      <c r="N442" s="69"/>
      <c r="O442" s="45"/>
      <c r="P442" s="45"/>
      <c r="Q442" s="69"/>
      <c r="R442" s="45"/>
      <c r="S442" s="45"/>
      <c r="T442" s="69"/>
      <c r="U442" s="45"/>
      <c r="V442" s="45"/>
      <c r="W442" s="45"/>
      <c r="X442" s="45"/>
      <c r="Y442" s="69"/>
      <c r="Z442" s="45"/>
      <c r="AA442" s="45"/>
      <c r="AB442" s="70"/>
      <c r="AC442" s="70"/>
      <c r="AD442" s="70"/>
      <c r="AE442" s="70"/>
      <c r="AF442" s="45"/>
      <c r="AG442" s="71"/>
      <c r="AH442" s="71"/>
      <c r="AI442" s="45"/>
      <c r="AJ442" s="45"/>
      <c r="AK442" s="45"/>
      <c r="AL442" s="45"/>
      <c r="AM442" s="45"/>
      <c r="AN442" s="45"/>
    </row>
    <row r="443">
      <c r="A443" s="45"/>
      <c r="B443" s="45"/>
      <c r="C443" s="45"/>
      <c r="D443" s="45"/>
      <c r="E443" s="45"/>
      <c r="F443" s="45"/>
      <c r="G443" s="69"/>
      <c r="H443" s="45"/>
      <c r="I443" s="45"/>
      <c r="J443" s="69"/>
      <c r="K443" s="45"/>
      <c r="L443" s="45"/>
      <c r="M443" s="45"/>
      <c r="N443" s="69"/>
      <c r="O443" s="45"/>
      <c r="P443" s="45"/>
      <c r="Q443" s="69"/>
      <c r="R443" s="45"/>
      <c r="S443" s="45"/>
      <c r="T443" s="69"/>
      <c r="U443" s="45"/>
      <c r="V443" s="45"/>
      <c r="W443" s="45"/>
      <c r="X443" s="45"/>
      <c r="Y443" s="69"/>
      <c r="Z443" s="45"/>
      <c r="AA443" s="45"/>
      <c r="AB443" s="70"/>
      <c r="AC443" s="70"/>
      <c r="AD443" s="70"/>
      <c r="AE443" s="70"/>
      <c r="AF443" s="45"/>
      <c r="AG443" s="71"/>
      <c r="AH443" s="71"/>
      <c r="AI443" s="45"/>
      <c r="AJ443" s="45"/>
      <c r="AK443" s="45"/>
      <c r="AL443" s="45"/>
      <c r="AM443" s="45"/>
      <c r="AN443" s="45"/>
    </row>
    <row r="444">
      <c r="A444" s="45"/>
      <c r="B444" s="45"/>
      <c r="C444" s="45"/>
      <c r="D444" s="45"/>
      <c r="E444" s="45"/>
      <c r="F444" s="45"/>
      <c r="G444" s="69"/>
      <c r="H444" s="45"/>
      <c r="I444" s="45"/>
      <c r="J444" s="69"/>
      <c r="K444" s="45"/>
      <c r="L444" s="45"/>
      <c r="M444" s="45"/>
      <c r="N444" s="69"/>
      <c r="O444" s="45"/>
      <c r="P444" s="45"/>
      <c r="Q444" s="69"/>
      <c r="R444" s="45"/>
      <c r="S444" s="45"/>
      <c r="T444" s="69"/>
      <c r="U444" s="45"/>
      <c r="V444" s="45"/>
      <c r="W444" s="45"/>
      <c r="X444" s="45"/>
      <c r="Y444" s="69"/>
      <c r="Z444" s="45"/>
      <c r="AA444" s="45"/>
      <c r="AB444" s="70"/>
      <c r="AC444" s="70"/>
      <c r="AD444" s="70"/>
      <c r="AE444" s="70"/>
      <c r="AF444" s="45"/>
      <c r="AG444" s="71"/>
      <c r="AH444" s="71"/>
      <c r="AI444" s="45"/>
      <c r="AJ444" s="45"/>
      <c r="AK444" s="45"/>
      <c r="AL444" s="45"/>
      <c r="AM444" s="45"/>
      <c r="AN444" s="45"/>
    </row>
    <row r="445">
      <c r="A445" s="45"/>
      <c r="B445" s="45"/>
      <c r="C445" s="45"/>
      <c r="D445" s="45"/>
      <c r="E445" s="45"/>
      <c r="F445" s="45"/>
      <c r="G445" s="69"/>
      <c r="H445" s="45"/>
      <c r="I445" s="45"/>
      <c r="J445" s="69"/>
      <c r="K445" s="45"/>
      <c r="L445" s="45"/>
      <c r="M445" s="45"/>
      <c r="N445" s="69"/>
      <c r="O445" s="45"/>
      <c r="P445" s="45"/>
      <c r="Q445" s="69"/>
      <c r="R445" s="45"/>
      <c r="S445" s="45"/>
      <c r="T445" s="69"/>
      <c r="U445" s="45"/>
      <c r="V445" s="45"/>
      <c r="W445" s="45"/>
      <c r="X445" s="45"/>
      <c r="Y445" s="69"/>
      <c r="Z445" s="45"/>
      <c r="AA445" s="45"/>
      <c r="AB445" s="70"/>
      <c r="AC445" s="70"/>
      <c r="AD445" s="70"/>
      <c r="AE445" s="70"/>
      <c r="AF445" s="45"/>
      <c r="AG445" s="71"/>
      <c r="AH445" s="71"/>
      <c r="AI445" s="45"/>
      <c r="AJ445" s="45"/>
      <c r="AK445" s="45"/>
      <c r="AL445" s="45"/>
      <c r="AM445" s="45"/>
      <c r="AN445" s="45"/>
    </row>
    <row r="446">
      <c r="A446" s="45"/>
      <c r="B446" s="45"/>
      <c r="C446" s="45"/>
      <c r="D446" s="45"/>
      <c r="E446" s="45"/>
      <c r="F446" s="45"/>
      <c r="G446" s="69"/>
      <c r="H446" s="45"/>
      <c r="I446" s="45"/>
      <c r="J446" s="69"/>
      <c r="K446" s="45"/>
      <c r="L446" s="45"/>
      <c r="M446" s="45"/>
      <c r="N446" s="69"/>
      <c r="O446" s="45"/>
      <c r="P446" s="45"/>
      <c r="Q446" s="69"/>
      <c r="R446" s="45"/>
      <c r="S446" s="45"/>
      <c r="T446" s="69"/>
      <c r="U446" s="45"/>
      <c r="V446" s="45"/>
      <c r="W446" s="45"/>
      <c r="X446" s="45"/>
      <c r="Y446" s="69"/>
      <c r="Z446" s="45"/>
      <c r="AA446" s="45"/>
      <c r="AB446" s="70"/>
      <c r="AC446" s="70"/>
      <c r="AD446" s="70"/>
      <c r="AE446" s="70"/>
      <c r="AF446" s="45"/>
      <c r="AG446" s="71"/>
      <c r="AH446" s="71"/>
      <c r="AI446" s="45"/>
      <c r="AJ446" s="45"/>
      <c r="AK446" s="45"/>
      <c r="AL446" s="45"/>
      <c r="AM446" s="45"/>
      <c r="AN446" s="45"/>
    </row>
    <row r="447">
      <c r="A447" s="45"/>
      <c r="B447" s="45"/>
      <c r="C447" s="45"/>
      <c r="D447" s="45"/>
      <c r="E447" s="45"/>
      <c r="F447" s="45"/>
      <c r="G447" s="69"/>
      <c r="H447" s="45"/>
      <c r="I447" s="45"/>
      <c r="J447" s="69"/>
      <c r="K447" s="45"/>
      <c r="L447" s="45"/>
      <c r="M447" s="45"/>
      <c r="N447" s="69"/>
      <c r="O447" s="45"/>
      <c r="P447" s="45"/>
      <c r="Q447" s="69"/>
      <c r="R447" s="45"/>
      <c r="S447" s="45"/>
      <c r="T447" s="69"/>
      <c r="U447" s="45"/>
      <c r="V447" s="45"/>
      <c r="W447" s="45"/>
      <c r="X447" s="45"/>
      <c r="Y447" s="69"/>
      <c r="Z447" s="45"/>
      <c r="AA447" s="45"/>
      <c r="AB447" s="70"/>
      <c r="AC447" s="70"/>
      <c r="AD447" s="70"/>
      <c r="AE447" s="70"/>
      <c r="AF447" s="45"/>
      <c r="AG447" s="71"/>
      <c r="AH447" s="71"/>
      <c r="AI447" s="45"/>
      <c r="AJ447" s="45"/>
      <c r="AK447" s="45"/>
      <c r="AL447" s="45"/>
      <c r="AM447" s="45"/>
      <c r="AN447" s="45"/>
    </row>
    <row r="448">
      <c r="A448" s="45"/>
      <c r="B448" s="45"/>
      <c r="C448" s="45"/>
      <c r="D448" s="45"/>
      <c r="E448" s="45"/>
      <c r="F448" s="45"/>
      <c r="G448" s="69"/>
      <c r="H448" s="45"/>
      <c r="I448" s="45"/>
      <c r="J448" s="69"/>
      <c r="K448" s="45"/>
      <c r="L448" s="45"/>
      <c r="M448" s="45"/>
      <c r="N448" s="69"/>
      <c r="O448" s="45"/>
      <c r="P448" s="45"/>
      <c r="Q448" s="69"/>
      <c r="R448" s="45"/>
      <c r="S448" s="45"/>
      <c r="T448" s="69"/>
      <c r="U448" s="45"/>
      <c r="V448" s="45"/>
      <c r="W448" s="45"/>
      <c r="X448" s="45"/>
      <c r="Y448" s="69"/>
      <c r="Z448" s="45"/>
      <c r="AA448" s="45"/>
      <c r="AB448" s="70"/>
      <c r="AC448" s="70"/>
      <c r="AD448" s="70"/>
      <c r="AE448" s="70"/>
      <c r="AF448" s="45"/>
      <c r="AG448" s="71"/>
      <c r="AH448" s="71"/>
      <c r="AI448" s="45"/>
      <c r="AJ448" s="45"/>
      <c r="AK448" s="45"/>
      <c r="AL448" s="45"/>
      <c r="AM448" s="45"/>
      <c r="AN448" s="45"/>
    </row>
    <row r="449">
      <c r="A449" s="45"/>
      <c r="B449" s="45"/>
      <c r="C449" s="45"/>
      <c r="D449" s="45"/>
      <c r="E449" s="45"/>
      <c r="F449" s="45"/>
      <c r="G449" s="69"/>
      <c r="H449" s="45"/>
      <c r="I449" s="45"/>
      <c r="J449" s="69"/>
      <c r="K449" s="45"/>
      <c r="L449" s="45"/>
      <c r="M449" s="45"/>
      <c r="N449" s="69"/>
      <c r="O449" s="45"/>
      <c r="P449" s="45"/>
      <c r="Q449" s="69"/>
      <c r="R449" s="45"/>
      <c r="S449" s="45"/>
      <c r="T449" s="69"/>
      <c r="U449" s="45"/>
      <c r="V449" s="45"/>
      <c r="W449" s="45"/>
      <c r="X449" s="45"/>
      <c r="Y449" s="69"/>
      <c r="Z449" s="45"/>
      <c r="AA449" s="45"/>
      <c r="AB449" s="70"/>
      <c r="AC449" s="70"/>
      <c r="AD449" s="70"/>
      <c r="AE449" s="70"/>
      <c r="AF449" s="45"/>
      <c r="AG449" s="71"/>
      <c r="AH449" s="71"/>
      <c r="AI449" s="45"/>
      <c r="AJ449" s="45"/>
      <c r="AK449" s="45"/>
      <c r="AL449" s="45"/>
      <c r="AM449" s="45"/>
      <c r="AN449" s="45"/>
    </row>
    <row r="450">
      <c r="A450" s="45"/>
      <c r="B450" s="45"/>
      <c r="C450" s="45"/>
      <c r="D450" s="45"/>
      <c r="E450" s="45"/>
      <c r="F450" s="45"/>
      <c r="G450" s="69"/>
      <c r="H450" s="45"/>
      <c r="I450" s="45"/>
      <c r="J450" s="69"/>
      <c r="K450" s="45"/>
      <c r="L450" s="45"/>
      <c r="M450" s="45"/>
      <c r="N450" s="69"/>
      <c r="O450" s="45"/>
      <c r="P450" s="45"/>
      <c r="Q450" s="69"/>
      <c r="R450" s="45"/>
      <c r="S450" s="45"/>
      <c r="T450" s="69"/>
      <c r="U450" s="45"/>
      <c r="V450" s="45"/>
      <c r="W450" s="45"/>
      <c r="X450" s="45"/>
      <c r="Y450" s="69"/>
      <c r="Z450" s="45"/>
      <c r="AA450" s="45"/>
      <c r="AB450" s="70"/>
      <c r="AC450" s="70"/>
      <c r="AD450" s="70"/>
      <c r="AE450" s="70"/>
      <c r="AF450" s="45"/>
      <c r="AG450" s="71"/>
      <c r="AH450" s="71"/>
      <c r="AI450" s="45"/>
      <c r="AJ450" s="45"/>
      <c r="AK450" s="45"/>
      <c r="AL450" s="45"/>
      <c r="AM450" s="45"/>
      <c r="AN450" s="45"/>
    </row>
    <row r="451">
      <c r="A451" s="45"/>
      <c r="B451" s="45"/>
      <c r="C451" s="45"/>
      <c r="D451" s="45"/>
      <c r="E451" s="45"/>
      <c r="F451" s="45"/>
      <c r="G451" s="69"/>
      <c r="H451" s="45"/>
      <c r="I451" s="45"/>
      <c r="J451" s="69"/>
      <c r="K451" s="45"/>
      <c r="L451" s="45"/>
      <c r="M451" s="45"/>
      <c r="N451" s="69"/>
      <c r="O451" s="45"/>
      <c r="P451" s="45"/>
      <c r="Q451" s="69"/>
      <c r="R451" s="45"/>
      <c r="S451" s="45"/>
      <c r="T451" s="69"/>
      <c r="U451" s="45"/>
      <c r="V451" s="45"/>
      <c r="W451" s="45"/>
      <c r="X451" s="45"/>
      <c r="Y451" s="69"/>
      <c r="Z451" s="45"/>
      <c r="AA451" s="45"/>
      <c r="AB451" s="70"/>
      <c r="AC451" s="70"/>
      <c r="AD451" s="70"/>
      <c r="AE451" s="70"/>
      <c r="AF451" s="45"/>
      <c r="AG451" s="71"/>
      <c r="AH451" s="71"/>
      <c r="AI451" s="45"/>
      <c r="AJ451" s="45"/>
      <c r="AK451" s="45"/>
      <c r="AL451" s="45"/>
      <c r="AM451" s="45"/>
      <c r="AN451" s="45"/>
    </row>
    <row r="452">
      <c r="A452" s="45"/>
      <c r="B452" s="45"/>
      <c r="C452" s="45"/>
      <c r="D452" s="45"/>
      <c r="E452" s="45"/>
      <c r="F452" s="45"/>
      <c r="G452" s="69"/>
      <c r="H452" s="45"/>
      <c r="I452" s="45"/>
      <c r="J452" s="69"/>
      <c r="K452" s="45"/>
      <c r="L452" s="45"/>
      <c r="M452" s="45"/>
      <c r="N452" s="69"/>
      <c r="O452" s="45"/>
      <c r="P452" s="45"/>
      <c r="Q452" s="69"/>
      <c r="R452" s="45"/>
      <c r="S452" s="45"/>
      <c r="T452" s="69"/>
      <c r="U452" s="45"/>
      <c r="V452" s="45"/>
      <c r="W452" s="45"/>
      <c r="X452" s="45"/>
      <c r="Y452" s="69"/>
      <c r="Z452" s="45"/>
      <c r="AA452" s="45"/>
      <c r="AB452" s="70"/>
      <c r="AC452" s="70"/>
      <c r="AD452" s="70"/>
      <c r="AE452" s="70"/>
      <c r="AF452" s="45"/>
      <c r="AG452" s="71"/>
      <c r="AH452" s="71"/>
      <c r="AI452" s="45"/>
      <c r="AJ452" s="45"/>
      <c r="AK452" s="45"/>
      <c r="AL452" s="45"/>
      <c r="AM452" s="45"/>
      <c r="AN452" s="45"/>
    </row>
    <row r="453">
      <c r="A453" s="45"/>
      <c r="B453" s="45"/>
      <c r="C453" s="45"/>
      <c r="D453" s="45"/>
      <c r="E453" s="45"/>
      <c r="F453" s="45"/>
      <c r="G453" s="69"/>
      <c r="H453" s="45"/>
      <c r="I453" s="45"/>
      <c r="J453" s="69"/>
      <c r="K453" s="45"/>
      <c r="L453" s="45"/>
      <c r="M453" s="45"/>
      <c r="N453" s="69"/>
      <c r="O453" s="45"/>
      <c r="P453" s="45"/>
      <c r="Q453" s="69"/>
      <c r="R453" s="45"/>
      <c r="S453" s="45"/>
      <c r="T453" s="69"/>
      <c r="U453" s="45"/>
      <c r="V453" s="45"/>
      <c r="W453" s="45"/>
      <c r="X453" s="45"/>
      <c r="Y453" s="69"/>
      <c r="Z453" s="45"/>
      <c r="AA453" s="45"/>
      <c r="AB453" s="70"/>
      <c r="AC453" s="70"/>
      <c r="AD453" s="70"/>
      <c r="AE453" s="70"/>
      <c r="AF453" s="45"/>
      <c r="AG453" s="71"/>
      <c r="AH453" s="71"/>
      <c r="AI453" s="45"/>
      <c r="AJ453" s="45"/>
      <c r="AK453" s="45"/>
      <c r="AL453" s="45"/>
      <c r="AM453" s="45"/>
      <c r="AN453" s="45"/>
    </row>
    <row r="454">
      <c r="A454" s="45"/>
      <c r="B454" s="45"/>
      <c r="C454" s="45"/>
      <c r="D454" s="45"/>
      <c r="E454" s="45"/>
      <c r="F454" s="45"/>
      <c r="G454" s="69"/>
      <c r="H454" s="45"/>
      <c r="I454" s="45"/>
      <c r="J454" s="69"/>
      <c r="K454" s="45"/>
      <c r="L454" s="45"/>
      <c r="M454" s="45"/>
      <c r="N454" s="69"/>
      <c r="O454" s="45"/>
      <c r="P454" s="45"/>
      <c r="Q454" s="69"/>
      <c r="R454" s="45"/>
      <c r="S454" s="45"/>
      <c r="T454" s="69"/>
      <c r="U454" s="45"/>
      <c r="V454" s="45"/>
      <c r="W454" s="45"/>
      <c r="X454" s="45"/>
      <c r="Y454" s="69"/>
      <c r="Z454" s="45"/>
      <c r="AA454" s="45"/>
      <c r="AB454" s="70"/>
      <c r="AC454" s="70"/>
      <c r="AD454" s="70"/>
      <c r="AE454" s="70"/>
      <c r="AF454" s="45"/>
      <c r="AG454" s="71"/>
      <c r="AH454" s="71"/>
      <c r="AI454" s="45"/>
      <c r="AJ454" s="45"/>
      <c r="AK454" s="45"/>
      <c r="AL454" s="45"/>
      <c r="AM454" s="45"/>
      <c r="AN454" s="45"/>
    </row>
    <row r="455">
      <c r="A455" s="45"/>
      <c r="B455" s="45"/>
      <c r="C455" s="45"/>
      <c r="D455" s="45"/>
      <c r="E455" s="45"/>
      <c r="F455" s="45"/>
      <c r="G455" s="69"/>
      <c r="H455" s="45"/>
      <c r="I455" s="45"/>
      <c r="J455" s="69"/>
      <c r="K455" s="45"/>
      <c r="L455" s="45"/>
      <c r="M455" s="45"/>
      <c r="N455" s="69"/>
      <c r="O455" s="45"/>
      <c r="P455" s="45"/>
      <c r="Q455" s="69"/>
      <c r="R455" s="45"/>
      <c r="S455" s="45"/>
      <c r="T455" s="69"/>
      <c r="U455" s="45"/>
      <c r="V455" s="45"/>
      <c r="W455" s="45"/>
      <c r="X455" s="45"/>
      <c r="Y455" s="69"/>
      <c r="Z455" s="45"/>
      <c r="AA455" s="45"/>
      <c r="AB455" s="70"/>
      <c r="AC455" s="70"/>
      <c r="AD455" s="70"/>
      <c r="AE455" s="70"/>
      <c r="AF455" s="45"/>
      <c r="AG455" s="71"/>
      <c r="AH455" s="71"/>
      <c r="AI455" s="45"/>
      <c r="AJ455" s="45"/>
      <c r="AK455" s="45"/>
      <c r="AL455" s="45"/>
      <c r="AM455" s="45"/>
      <c r="AN455" s="45"/>
    </row>
    <row r="456">
      <c r="A456" s="45"/>
      <c r="B456" s="45"/>
      <c r="C456" s="45"/>
      <c r="D456" s="45"/>
      <c r="E456" s="45"/>
      <c r="F456" s="45"/>
      <c r="G456" s="69"/>
      <c r="H456" s="45"/>
      <c r="I456" s="45"/>
      <c r="J456" s="69"/>
      <c r="K456" s="45"/>
      <c r="L456" s="45"/>
      <c r="M456" s="45"/>
      <c r="N456" s="69"/>
      <c r="O456" s="45"/>
      <c r="P456" s="45"/>
      <c r="Q456" s="69"/>
      <c r="R456" s="45"/>
      <c r="S456" s="45"/>
      <c r="T456" s="69"/>
      <c r="U456" s="45"/>
      <c r="V456" s="45"/>
      <c r="W456" s="45"/>
      <c r="X456" s="45"/>
      <c r="Y456" s="69"/>
      <c r="Z456" s="45"/>
      <c r="AA456" s="45"/>
      <c r="AB456" s="70"/>
      <c r="AC456" s="70"/>
      <c r="AD456" s="70"/>
      <c r="AE456" s="70"/>
      <c r="AF456" s="45"/>
      <c r="AG456" s="71"/>
      <c r="AH456" s="71"/>
      <c r="AI456" s="45"/>
      <c r="AJ456" s="45"/>
      <c r="AK456" s="45"/>
      <c r="AL456" s="45"/>
      <c r="AM456" s="45"/>
      <c r="AN456" s="45"/>
    </row>
    <row r="457">
      <c r="A457" s="45"/>
      <c r="B457" s="45"/>
      <c r="C457" s="45"/>
      <c r="D457" s="45"/>
      <c r="E457" s="45"/>
      <c r="F457" s="45"/>
      <c r="G457" s="69"/>
      <c r="H457" s="45"/>
      <c r="I457" s="45"/>
      <c r="J457" s="69"/>
      <c r="K457" s="45"/>
      <c r="L457" s="45"/>
      <c r="M457" s="45"/>
      <c r="N457" s="69"/>
      <c r="O457" s="45"/>
      <c r="P457" s="45"/>
      <c r="Q457" s="69"/>
      <c r="R457" s="45"/>
      <c r="S457" s="45"/>
      <c r="T457" s="69"/>
      <c r="U457" s="45"/>
      <c r="V457" s="45"/>
      <c r="W457" s="45"/>
      <c r="X457" s="45"/>
      <c r="Y457" s="69"/>
      <c r="Z457" s="45"/>
      <c r="AA457" s="45"/>
      <c r="AB457" s="70"/>
      <c r="AC457" s="70"/>
      <c r="AD457" s="70"/>
      <c r="AE457" s="70"/>
      <c r="AF457" s="45"/>
      <c r="AG457" s="71"/>
      <c r="AH457" s="71"/>
      <c r="AI457" s="45"/>
      <c r="AJ457" s="45"/>
      <c r="AK457" s="45"/>
      <c r="AL457" s="45"/>
      <c r="AM457" s="45"/>
      <c r="AN457" s="45"/>
    </row>
    <row r="458">
      <c r="A458" s="45"/>
      <c r="B458" s="45"/>
      <c r="C458" s="45"/>
      <c r="D458" s="45"/>
      <c r="E458" s="45"/>
      <c r="F458" s="45"/>
      <c r="G458" s="69"/>
      <c r="H458" s="45"/>
      <c r="I458" s="45"/>
      <c r="J458" s="69"/>
      <c r="K458" s="45"/>
      <c r="L458" s="45"/>
      <c r="M458" s="45"/>
      <c r="N458" s="69"/>
      <c r="O458" s="45"/>
      <c r="P458" s="45"/>
      <c r="Q458" s="69"/>
      <c r="R458" s="45"/>
      <c r="S458" s="45"/>
      <c r="T458" s="69"/>
      <c r="U458" s="45"/>
      <c r="V458" s="45"/>
      <c r="W458" s="45"/>
      <c r="X458" s="45"/>
      <c r="Y458" s="69"/>
      <c r="Z458" s="45"/>
      <c r="AA458" s="45"/>
      <c r="AB458" s="70"/>
      <c r="AC458" s="70"/>
      <c r="AD458" s="70"/>
      <c r="AE458" s="70"/>
      <c r="AF458" s="45"/>
      <c r="AG458" s="71"/>
      <c r="AH458" s="71"/>
      <c r="AI458" s="45"/>
      <c r="AJ458" s="45"/>
      <c r="AK458" s="45"/>
      <c r="AL458" s="45"/>
      <c r="AM458" s="45"/>
      <c r="AN458" s="45"/>
    </row>
    <row r="459">
      <c r="A459" s="45"/>
      <c r="B459" s="45"/>
      <c r="C459" s="45"/>
      <c r="D459" s="45"/>
      <c r="E459" s="45"/>
      <c r="F459" s="45"/>
      <c r="G459" s="69"/>
      <c r="H459" s="45"/>
      <c r="I459" s="45"/>
      <c r="J459" s="69"/>
      <c r="K459" s="45"/>
      <c r="L459" s="45"/>
      <c r="M459" s="45"/>
      <c r="N459" s="69"/>
      <c r="O459" s="45"/>
      <c r="P459" s="45"/>
      <c r="Q459" s="69"/>
      <c r="R459" s="45"/>
      <c r="S459" s="45"/>
      <c r="T459" s="69"/>
      <c r="U459" s="45"/>
      <c r="V459" s="45"/>
      <c r="W459" s="45"/>
      <c r="X459" s="45"/>
      <c r="Y459" s="69"/>
      <c r="Z459" s="45"/>
      <c r="AA459" s="45"/>
      <c r="AB459" s="70"/>
      <c r="AC459" s="70"/>
      <c r="AD459" s="70"/>
      <c r="AE459" s="70"/>
      <c r="AF459" s="45"/>
      <c r="AG459" s="71"/>
      <c r="AH459" s="71"/>
      <c r="AI459" s="45"/>
      <c r="AJ459" s="45"/>
      <c r="AK459" s="45"/>
      <c r="AL459" s="45"/>
      <c r="AM459" s="45"/>
      <c r="AN459" s="45"/>
    </row>
    <row r="460">
      <c r="A460" s="45"/>
      <c r="B460" s="45"/>
      <c r="C460" s="45"/>
      <c r="D460" s="45"/>
      <c r="E460" s="45"/>
      <c r="F460" s="45"/>
      <c r="G460" s="69"/>
      <c r="H460" s="45"/>
      <c r="I460" s="45"/>
      <c r="J460" s="69"/>
      <c r="K460" s="45"/>
      <c r="L460" s="45"/>
      <c r="M460" s="45"/>
      <c r="N460" s="69"/>
      <c r="O460" s="45"/>
      <c r="P460" s="45"/>
      <c r="Q460" s="69"/>
      <c r="R460" s="45"/>
      <c r="S460" s="45"/>
      <c r="T460" s="69"/>
      <c r="U460" s="45"/>
      <c r="V460" s="45"/>
      <c r="W460" s="45"/>
      <c r="X460" s="45"/>
      <c r="Y460" s="69"/>
      <c r="Z460" s="45"/>
      <c r="AA460" s="45"/>
      <c r="AB460" s="70"/>
      <c r="AC460" s="70"/>
      <c r="AD460" s="70"/>
      <c r="AE460" s="70"/>
      <c r="AF460" s="45"/>
      <c r="AG460" s="71"/>
      <c r="AH460" s="71"/>
      <c r="AI460" s="45"/>
      <c r="AJ460" s="45"/>
      <c r="AK460" s="45"/>
      <c r="AL460" s="45"/>
      <c r="AM460" s="45"/>
      <c r="AN460" s="45"/>
    </row>
    <row r="461">
      <c r="A461" s="45"/>
      <c r="B461" s="45"/>
      <c r="C461" s="45"/>
      <c r="D461" s="45"/>
      <c r="E461" s="45"/>
      <c r="F461" s="45"/>
      <c r="G461" s="69"/>
      <c r="H461" s="45"/>
      <c r="I461" s="45"/>
      <c r="J461" s="69"/>
      <c r="K461" s="45"/>
      <c r="L461" s="45"/>
      <c r="M461" s="45"/>
      <c r="N461" s="69"/>
      <c r="O461" s="45"/>
      <c r="P461" s="45"/>
      <c r="Q461" s="69"/>
      <c r="R461" s="45"/>
      <c r="S461" s="45"/>
      <c r="T461" s="69"/>
      <c r="U461" s="45"/>
      <c r="V461" s="45"/>
      <c r="W461" s="45"/>
      <c r="X461" s="45"/>
      <c r="Y461" s="69"/>
      <c r="Z461" s="45"/>
      <c r="AA461" s="45"/>
      <c r="AB461" s="70"/>
      <c r="AC461" s="70"/>
      <c r="AD461" s="70"/>
      <c r="AE461" s="70"/>
      <c r="AF461" s="45"/>
      <c r="AG461" s="71"/>
      <c r="AH461" s="71"/>
      <c r="AI461" s="45"/>
      <c r="AJ461" s="45"/>
      <c r="AK461" s="45"/>
      <c r="AL461" s="45"/>
      <c r="AM461" s="45"/>
      <c r="AN461" s="45"/>
    </row>
    <row r="462">
      <c r="A462" s="45"/>
      <c r="B462" s="45"/>
      <c r="C462" s="45"/>
      <c r="D462" s="45"/>
      <c r="E462" s="45"/>
      <c r="F462" s="45"/>
      <c r="G462" s="69"/>
      <c r="H462" s="45"/>
      <c r="I462" s="45"/>
      <c r="J462" s="69"/>
      <c r="K462" s="45"/>
      <c r="L462" s="45"/>
      <c r="M462" s="45"/>
      <c r="N462" s="69"/>
      <c r="O462" s="45"/>
      <c r="P462" s="45"/>
      <c r="Q462" s="69"/>
      <c r="R462" s="45"/>
      <c r="S462" s="45"/>
      <c r="T462" s="69"/>
      <c r="U462" s="45"/>
      <c r="V462" s="45"/>
      <c r="W462" s="45"/>
      <c r="X462" s="45"/>
      <c r="Y462" s="69"/>
      <c r="Z462" s="45"/>
      <c r="AA462" s="45"/>
      <c r="AB462" s="70"/>
      <c r="AC462" s="70"/>
      <c r="AD462" s="70"/>
      <c r="AE462" s="70"/>
      <c r="AF462" s="45"/>
      <c r="AG462" s="71"/>
      <c r="AH462" s="71"/>
      <c r="AI462" s="45"/>
      <c r="AJ462" s="45"/>
      <c r="AK462" s="45"/>
      <c r="AL462" s="45"/>
      <c r="AM462" s="45"/>
      <c r="AN462" s="45"/>
    </row>
    <row r="463">
      <c r="A463" s="45"/>
      <c r="B463" s="45"/>
      <c r="C463" s="45"/>
      <c r="D463" s="45"/>
      <c r="E463" s="45"/>
      <c r="F463" s="45"/>
      <c r="G463" s="69"/>
      <c r="H463" s="45"/>
      <c r="I463" s="45"/>
      <c r="J463" s="69"/>
      <c r="K463" s="45"/>
      <c r="L463" s="45"/>
      <c r="M463" s="45"/>
      <c r="N463" s="69"/>
      <c r="O463" s="45"/>
      <c r="P463" s="45"/>
      <c r="Q463" s="69"/>
      <c r="R463" s="45"/>
      <c r="S463" s="45"/>
      <c r="T463" s="69"/>
      <c r="U463" s="45"/>
      <c r="V463" s="45"/>
      <c r="W463" s="45"/>
      <c r="X463" s="45"/>
      <c r="Y463" s="69"/>
      <c r="Z463" s="45"/>
      <c r="AA463" s="45"/>
      <c r="AB463" s="70"/>
      <c r="AC463" s="70"/>
      <c r="AD463" s="70"/>
      <c r="AE463" s="70"/>
      <c r="AF463" s="45"/>
      <c r="AG463" s="71"/>
      <c r="AH463" s="71"/>
      <c r="AI463" s="45"/>
      <c r="AJ463" s="45"/>
      <c r="AK463" s="45"/>
      <c r="AL463" s="45"/>
      <c r="AM463" s="45"/>
      <c r="AN463" s="45"/>
    </row>
    <row r="464">
      <c r="A464" s="45"/>
      <c r="B464" s="45"/>
      <c r="C464" s="45"/>
      <c r="D464" s="45"/>
      <c r="E464" s="45"/>
      <c r="F464" s="45"/>
      <c r="G464" s="69"/>
      <c r="H464" s="45"/>
      <c r="I464" s="45"/>
      <c r="J464" s="69"/>
      <c r="K464" s="45"/>
      <c r="L464" s="45"/>
      <c r="M464" s="45"/>
      <c r="N464" s="69"/>
      <c r="O464" s="45"/>
      <c r="P464" s="45"/>
      <c r="Q464" s="69"/>
      <c r="R464" s="45"/>
      <c r="S464" s="45"/>
      <c r="T464" s="69"/>
      <c r="U464" s="45"/>
      <c r="V464" s="45"/>
      <c r="W464" s="45"/>
      <c r="X464" s="45"/>
      <c r="Y464" s="69"/>
      <c r="Z464" s="45"/>
      <c r="AA464" s="45"/>
      <c r="AB464" s="70"/>
      <c r="AC464" s="70"/>
      <c r="AD464" s="70"/>
      <c r="AE464" s="70"/>
      <c r="AF464" s="45"/>
      <c r="AG464" s="71"/>
      <c r="AH464" s="71"/>
      <c r="AI464" s="45"/>
      <c r="AJ464" s="45"/>
      <c r="AK464" s="45"/>
      <c r="AL464" s="45"/>
      <c r="AM464" s="45"/>
      <c r="AN464" s="45"/>
    </row>
    <row r="465">
      <c r="A465" s="45"/>
      <c r="B465" s="45"/>
      <c r="C465" s="45"/>
      <c r="D465" s="45"/>
      <c r="E465" s="45"/>
      <c r="F465" s="45"/>
      <c r="G465" s="69"/>
      <c r="H465" s="45"/>
      <c r="I465" s="45"/>
      <c r="J465" s="69"/>
      <c r="K465" s="45"/>
      <c r="L465" s="45"/>
      <c r="M465" s="45"/>
      <c r="N465" s="69"/>
      <c r="O465" s="45"/>
      <c r="P465" s="45"/>
      <c r="Q465" s="69"/>
      <c r="R465" s="45"/>
      <c r="S465" s="45"/>
      <c r="T465" s="69"/>
      <c r="U465" s="45"/>
      <c r="V465" s="45"/>
      <c r="W465" s="45"/>
      <c r="X465" s="45"/>
      <c r="Y465" s="69"/>
      <c r="Z465" s="45"/>
      <c r="AA465" s="45"/>
      <c r="AB465" s="70"/>
      <c r="AC465" s="70"/>
      <c r="AD465" s="70"/>
      <c r="AE465" s="70"/>
      <c r="AF465" s="45"/>
      <c r="AG465" s="71"/>
      <c r="AH465" s="71"/>
      <c r="AI465" s="45"/>
      <c r="AJ465" s="45"/>
      <c r="AK465" s="45"/>
      <c r="AL465" s="45"/>
      <c r="AM465" s="45"/>
      <c r="AN465" s="45"/>
    </row>
    <row r="466">
      <c r="A466" s="45"/>
      <c r="B466" s="45"/>
      <c r="C466" s="45"/>
      <c r="D466" s="45"/>
      <c r="E466" s="45"/>
      <c r="F466" s="45"/>
      <c r="G466" s="69"/>
      <c r="H466" s="45"/>
      <c r="I466" s="45"/>
      <c r="J466" s="69"/>
      <c r="K466" s="45"/>
      <c r="L466" s="45"/>
      <c r="M466" s="45"/>
      <c r="N466" s="69"/>
      <c r="O466" s="45"/>
      <c r="P466" s="45"/>
      <c r="Q466" s="69"/>
      <c r="R466" s="45"/>
      <c r="S466" s="45"/>
      <c r="T466" s="69"/>
      <c r="U466" s="45"/>
      <c r="V466" s="45"/>
      <c r="W466" s="45"/>
      <c r="X466" s="45"/>
      <c r="Y466" s="69"/>
      <c r="Z466" s="45"/>
      <c r="AA466" s="45"/>
      <c r="AB466" s="70"/>
      <c r="AC466" s="70"/>
      <c r="AD466" s="70"/>
      <c r="AE466" s="70"/>
      <c r="AF466" s="45"/>
      <c r="AG466" s="71"/>
      <c r="AH466" s="71"/>
      <c r="AI466" s="45"/>
      <c r="AJ466" s="45"/>
      <c r="AK466" s="45"/>
      <c r="AL466" s="45"/>
      <c r="AM466" s="45"/>
      <c r="AN466" s="45"/>
    </row>
    <row r="467">
      <c r="A467" s="45"/>
      <c r="B467" s="45"/>
      <c r="C467" s="45"/>
      <c r="D467" s="45"/>
      <c r="E467" s="45"/>
      <c r="F467" s="45"/>
      <c r="G467" s="69"/>
      <c r="H467" s="45"/>
      <c r="I467" s="45"/>
      <c r="J467" s="69"/>
      <c r="K467" s="45"/>
      <c r="L467" s="45"/>
      <c r="M467" s="45"/>
      <c r="N467" s="69"/>
      <c r="O467" s="45"/>
      <c r="P467" s="45"/>
      <c r="Q467" s="69"/>
      <c r="R467" s="45"/>
      <c r="S467" s="45"/>
      <c r="T467" s="69"/>
      <c r="U467" s="45"/>
      <c r="V467" s="45"/>
      <c r="W467" s="45"/>
      <c r="X467" s="45"/>
      <c r="Y467" s="69"/>
      <c r="Z467" s="45"/>
      <c r="AA467" s="45"/>
      <c r="AB467" s="70"/>
      <c r="AC467" s="70"/>
      <c r="AD467" s="70"/>
      <c r="AE467" s="70"/>
      <c r="AF467" s="45"/>
      <c r="AG467" s="71"/>
      <c r="AH467" s="71"/>
      <c r="AI467" s="45"/>
      <c r="AJ467" s="45"/>
      <c r="AK467" s="45"/>
      <c r="AL467" s="45"/>
      <c r="AM467" s="45"/>
      <c r="AN467" s="45"/>
    </row>
    <row r="468">
      <c r="A468" s="45"/>
      <c r="B468" s="45"/>
      <c r="C468" s="45"/>
      <c r="D468" s="45"/>
      <c r="E468" s="45"/>
      <c r="F468" s="45"/>
      <c r="G468" s="69"/>
      <c r="H468" s="45"/>
      <c r="I468" s="45"/>
      <c r="J468" s="69"/>
      <c r="K468" s="45"/>
      <c r="L468" s="45"/>
      <c r="M468" s="45"/>
      <c r="N468" s="69"/>
      <c r="O468" s="45"/>
      <c r="P468" s="45"/>
      <c r="Q468" s="69"/>
      <c r="R468" s="45"/>
      <c r="S468" s="45"/>
      <c r="T468" s="69"/>
      <c r="U468" s="45"/>
      <c r="V468" s="45"/>
      <c r="W468" s="45"/>
      <c r="X468" s="45"/>
      <c r="Y468" s="69"/>
      <c r="Z468" s="45"/>
      <c r="AA468" s="45"/>
      <c r="AB468" s="70"/>
      <c r="AC468" s="70"/>
      <c r="AD468" s="70"/>
      <c r="AE468" s="70"/>
      <c r="AF468" s="45"/>
      <c r="AG468" s="71"/>
      <c r="AH468" s="71"/>
      <c r="AI468" s="45"/>
      <c r="AJ468" s="45"/>
      <c r="AK468" s="45"/>
      <c r="AL468" s="45"/>
      <c r="AM468" s="45"/>
      <c r="AN468" s="45"/>
    </row>
    <row r="469">
      <c r="A469" s="45"/>
      <c r="B469" s="45"/>
      <c r="C469" s="45"/>
      <c r="D469" s="45"/>
      <c r="E469" s="45"/>
      <c r="F469" s="45"/>
      <c r="G469" s="69"/>
      <c r="H469" s="45"/>
      <c r="I469" s="45"/>
      <c r="J469" s="69"/>
      <c r="K469" s="45"/>
      <c r="L469" s="45"/>
      <c r="M469" s="45"/>
      <c r="N469" s="69"/>
      <c r="O469" s="45"/>
      <c r="P469" s="45"/>
      <c r="Q469" s="69"/>
      <c r="R469" s="45"/>
      <c r="S469" s="45"/>
      <c r="T469" s="69"/>
      <c r="U469" s="45"/>
      <c r="V469" s="45"/>
      <c r="W469" s="45"/>
      <c r="X469" s="45"/>
      <c r="Y469" s="69"/>
      <c r="Z469" s="45"/>
      <c r="AA469" s="45"/>
      <c r="AB469" s="70"/>
      <c r="AC469" s="70"/>
      <c r="AD469" s="70"/>
      <c r="AE469" s="70"/>
      <c r="AF469" s="45"/>
      <c r="AG469" s="71"/>
      <c r="AH469" s="71"/>
      <c r="AI469" s="45"/>
      <c r="AJ469" s="45"/>
      <c r="AK469" s="45"/>
      <c r="AL469" s="45"/>
      <c r="AM469" s="45"/>
      <c r="AN469" s="45"/>
    </row>
    <row r="470">
      <c r="A470" s="45"/>
      <c r="B470" s="45"/>
      <c r="C470" s="45"/>
      <c r="D470" s="45"/>
      <c r="E470" s="45"/>
      <c r="F470" s="45"/>
      <c r="G470" s="69"/>
      <c r="H470" s="45"/>
      <c r="I470" s="45"/>
      <c r="J470" s="69"/>
      <c r="K470" s="45"/>
      <c r="L470" s="45"/>
      <c r="M470" s="45"/>
      <c r="N470" s="69"/>
      <c r="O470" s="45"/>
      <c r="P470" s="45"/>
      <c r="Q470" s="69"/>
      <c r="R470" s="45"/>
      <c r="S470" s="45"/>
      <c r="T470" s="69"/>
      <c r="U470" s="45"/>
      <c r="V470" s="45"/>
      <c r="W470" s="45"/>
      <c r="X470" s="45"/>
      <c r="Y470" s="69"/>
      <c r="Z470" s="45"/>
      <c r="AA470" s="45"/>
      <c r="AB470" s="70"/>
      <c r="AC470" s="70"/>
      <c r="AD470" s="70"/>
      <c r="AE470" s="70"/>
      <c r="AF470" s="45"/>
      <c r="AG470" s="71"/>
      <c r="AH470" s="71"/>
      <c r="AI470" s="45"/>
      <c r="AJ470" s="45"/>
      <c r="AK470" s="45"/>
      <c r="AL470" s="45"/>
      <c r="AM470" s="45"/>
      <c r="AN470" s="45"/>
    </row>
    <row r="471">
      <c r="A471" s="45"/>
      <c r="B471" s="45"/>
      <c r="C471" s="45"/>
      <c r="D471" s="45"/>
      <c r="E471" s="45"/>
      <c r="F471" s="45"/>
      <c r="G471" s="69"/>
      <c r="H471" s="45"/>
      <c r="I471" s="45"/>
      <c r="J471" s="69"/>
      <c r="K471" s="45"/>
      <c r="L471" s="45"/>
      <c r="M471" s="45"/>
      <c r="N471" s="69"/>
      <c r="O471" s="45"/>
      <c r="P471" s="45"/>
      <c r="Q471" s="69"/>
      <c r="R471" s="45"/>
      <c r="S471" s="45"/>
      <c r="T471" s="69"/>
      <c r="U471" s="45"/>
      <c r="V471" s="45"/>
      <c r="W471" s="45"/>
      <c r="X471" s="45"/>
      <c r="Y471" s="69"/>
      <c r="Z471" s="45"/>
      <c r="AA471" s="45"/>
      <c r="AB471" s="70"/>
      <c r="AC471" s="70"/>
      <c r="AD471" s="70"/>
      <c r="AE471" s="70"/>
      <c r="AF471" s="45"/>
      <c r="AG471" s="71"/>
      <c r="AH471" s="71"/>
      <c r="AI471" s="45"/>
      <c r="AJ471" s="45"/>
      <c r="AK471" s="45"/>
      <c r="AL471" s="45"/>
      <c r="AM471" s="45"/>
      <c r="AN471" s="45"/>
    </row>
    <row r="472">
      <c r="A472" s="45"/>
      <c r="B472" s="45"/>
      <c r="C472" s="45"/>
      <c r="D472" s="45"/>
      <c r="E472" s="45"/>
      <c r="F472" s="45"/>
      <c r="G472" s="69"/>
      <c r="H472" s="45"/>
      <c r="I472" s="45"/>
      <c r="J472" s="69"/>
      <c r="K472" s="45"/>
      <c r="L472" s="45"/>
      <c r="M472" s="45"/>
      <c r="N472" s="69"/>
      <c r="O472" s="45"/>
      <c r="P472" s="45"/>
      <c r="Q472" s="69"/>
      <c r="R472" s="45"/>
      <c r="S472" s="45"/>
      <c r="T472" s="69"/>
      <c r="U472" s="45"/>
      <c r="V472" s="45"/>
      <c r="W472" s="45"/>
      <c r="X472" s="45"/>
      <c r="Y472" s="69"/>
      <c r="Z472" s="45"/>
      <c r="AA472" s="45"/>
      <c r="AB472" s="70"/>
      <c r="AC472" s="70"/>
      <c r="AD472" s="70"/>
      <c r="AE472" s="70"/>
      <c r="AF472" s="45"/>
      <c r="AG472" s="71"/>
      <c r="AH472" s="71"/>
      <c r="AI472" s="45"/>
      <c r="AJ472" s="45"/>
      <c r="AK472" s="45"/>
      <c r="AL472" s="45"/>
      <c r="AM472" s="45"/>
      <c r="AN472" s="45"/>
    </row>
    <row r="473">
      <c r="A473" s="45"/>
      <c r="B473" s="45"/>
      <c r="C473" s="45"/>
      <c r="D473" s="45"/>
      <c r="E473" s="45"/>
      <c r="F473" s="45"/>
      <c r="G473" s="69"/>
      <c r="H473" s="45"/>
      <c r="I473" s="45"/>
      <c r="J473" s="69"/>
      <c r="K473" s="45"/>
      <c r="L473" s="45"/>
      <c r="M473" s="45"/>
      <c r="N473" s="69"/>
      <c r="O473" s="45"/>
      <c r="P473" s="45"/>
      <c r="Q473" s="69"/>
      <c r="R473" s="45"/>
      <c r="S473" s="45"/>
      <c r="T473" s="69"/>
      <c r="U473" s="45"/>
      <c r="V473" s="45"/>
      <c r="W473" s="45"/>
      <c r="X473" s="45"/>
      <c r="Y473" s="69"/>
      <c r="Z473" s="45"/>
      <c r="AA473" s="45"/>
      <c r="AB473" s="70"/>
      <c r="AC473" s="70"/>
      <c r="AD473" s="70"/>
      <c r="AE473" s="70"/>
      <c r="AF473" s="45"/>
      <c r="AG473" s="71"/>
      <c r="AH473" s="71"/>
      <c r="AI473" s="45"/>
      <c r="AJ473" s="45"/>
      <c r="AK473" s="45"/>
      <c r="AL473" s="45"/>
      <c r="AM473" s="45"/>
      <c r="AN473" s="45"/>
    </row>
    <row r="474">
      <c r="A474" s="45"/>
      <c r="B474" s="45"/>
      <c r="C474" s="45"/>
      <c r="D474" s="45"/>
      <c r="E474" s="45"/>
      <c r="F474" s="45"/>
      <c r="G474" s="69"/>
      <c r="H474" s="45"/>
      <c r="I474" s="45"/>
      <c r="J474" s="69"/>
      <c r="K474" s="45"/>
      <c r="L474" s="45"/>
      <c r="M474" s="45"/>
      <c r="N474" s="69"/>
      <c r="O474" s="45"/>
      <c r="P474" s="45"/>
      <c r="Q474" s="69"/>
      <c r="R474" s="45"/>
      <c r="S474" s="45"/>
      <c r="T474" s="69"/>
      <c r="U474" s="45"/>
      <c r="V474" s="45"/>
      <c r="W474" s="45"/>
      <c r="X474" s="45"/>
      <c r="Y474" s="69"/>
      <c r="Z474" s="45"/>
      <c r="AA474" s="45"/>
      <c r="AB474" s="70"/>
      <c r="AC474" s="70"/>
      <c r="AD474" s="70"/>
      <c r="AE474" s="70"/>
      <c r="AF474" s="45"/>
      <c r="AG474" s="71"/>
      <c r="AH474" s="71"/>
      <c r="AI474" s="45"/>
      <c r="AJ474" s="45"/>
      <c r="AK474" s="45"/>
      <c r="AL474" s="45"/>
      <c r="AM474" s="45"/>
      <c r="AN474" s="45"/>
    </row>
    <row r="475">
      <c r="A475" s="45"/>
      <c r="B475" s="45"/>
      <c r="C475" s="45"/>
      <c r="D475" s="45"/>
      <c r="E475" s="45"/>
      <c r="F475" s="45"/>
      <c r="G475" s="69"/>
      <c r="H475" s="45"/>
      <c r="I475" s="45"/>
      <c r="J475" s="69"/>
      <c r="K475" s="45"/>
      <c r="L475" s="45"/>
      <c r="M475" s="45"/>
      <c r="N475" s="69"/>
      <c r="O475" s="45"/>
      <c r="P475" s="45"/>
      <c r="Q475" s="69"/>
      <c r="R475" s="45"/>
      <c r="S475" s="45"/>
      <c r="T475" s="69"/>
      <c r="U475" s="45"/>
      <c r="V475" s="45"/>
      <c r="W475" s="45"/>
      <c r="X475" s="45"/>
      <c r="Y475" s="69"/>
      <c r="Z475" s="45"/>
      <c r="AA475" s="45"/>
      <c r="AB475" s="70"/>
      <c r="AC475" s="70"/>
      <c r="AD475" s="70"/>
      <c r="AE475" s="70"/>
      <c r="AF475" s="45"/>
      <c r="AG475" s="71"/>
      <c r="AH475" s="71"/>
      <c r="AI475" s="45"/>
      <c r="AJ475" s="45"/>
      <c r="AK475" s="45"/>
      <c r="AL475" s="45"/>
      <c r="AM475" s="45"/>
      <c r="AN475" s="45"/>
    </row>
    <row r="476">
      <c r="A476" s="45"/>
      <c r="B476" s="45"/>
      <c r="C476" s="45"/>
      <c r="D476" s="45"/>
      <c r="E476" s="45"/>
      <c r="F476" s="45"/>
      <c r="G476" s="69"/>
      <c r="H476" s="45"/>
      <c r="I476" s="45"/>
      <c r="J476" s="69"/>
      <c r="K476" s="45"/>
      <c r="L476" s="45"/>
      <c r="M476" s="45"/>
      <c r="N476" s="69"/>
      <c r="O476" s="45"/>
      <c r="P476" s="45"/>
      <c r="Q476" s="69"/>
      <c r="R476" s="45"/>
      <c r="S476" s="45"/>
      <c r="T476" s="69"/>
      <c r="U476" s="45"/>
      <c r="V476" s="45"/>
      <c r="W476" s="45"/>
      <c r="X476" s="45"/>
      <c r="Y476" s="69"/>
      <c r="Z476" s="45"/>
      <c r="AA476" s="45"/>
      <c r="AB476" s="70"/>
      <c r="AC476" s="70"/>
      <c r="AD476" s="70"/>
      <c r="AE476" s="70"/>
      <c r="AF476" s="45"/>
      <c r="AG476" s="71"/>
      <c r="AH476" s="71"/>
      <c r="AI476" s="45"/>
      <c r="AJ476" s="45"/>
      <c r="AK476" s="45"/>
      <c r="AL476" s="45"/>
      <c r="AM476" s="45"/>
      <c r="AN476" s="45"/>
    </row>
    <row r="477">
      <c r="A477" s="45"/>
      <c r="B477" s="45"/>
      <c r="C477" s="45"/>
      <c r="D477" s="45"/>
      <c r="E477" s="45"/>
      <c r="F477" s="45"/>
      <c r="G477" s="69"/>
      <c r="H477" s="45"/>
      <c r="I477" s="45"/>
      <c r="J477" s="69"/>
      <c r="K477" s="45"/>
      <c r="L477" s="45"/>
      <c r="M477" s="45"/>
      <c r="N477" s="69"/>
      <c r="O477" s="45"/>
      <c r="P477" s="45"/>
      <c r="Q477" s="69"/>
      <c r="R477" s="45"/>
      <c r="S477" s="45"/>
      <c r="T477" s="69"/>
      <c r="U477" s="45"/>
      <c r="V477" s="45"/>
      <c r="W477" s="45"/>
      <c r="X477" s="45"/>
      <c r="Y477" s="69"/>
      <c r="Z477" s="45"/>
      <c r="AA477" s="45"/>
      <c r="AB477" s="70"/>
      <c r="AC477" s="70"/>
      <c r="AD477" s="70"/>
      <c r="AE477" s="70"/>
      <c r="AF477" s="45"/>
      <c r="AG477" s="71"/>
      <c r="AH477" s="71"/>
      <c r="AI477" s="45"/>
      <c r="AJ477" s="45"/>
      <c r="AK477" s="45"/>
      <c r="AL477" s="45"/>
      <c r="AM477" s="45"/>
      <c r="AN477" s="45"/>
    </row>
    <row r="478">
      <c r="A478" s="45"/>
      <c r="B478" s="45"/>
      <c r="C478" s="45"/>
      <c r="D478" s="45"/>
      <c r="E478" s="45"/>
      <c r="F478" s="45"/>
      <c r="G478" s="69"/>
      <c r="H478" s="45"/>
      <c r="I478" s="45"/>
      <c r="J478" s="69"/>
      <c r="K478" s="45"/>
      <c r="L478" s="45"/>
      <c r="M478" s="45"/>
      <c r="N478" s="69"/>
      <c r="O478" s="45"/>
      <c r="P478" s="45"/>
      <c r="Q478" s="69"/>
      <c r="R478" s="45"/>
      <c r="S478" s="45"/>
      <c r="T478" s="69"/>
      <c r="U478" s="45"/>
      <c r="V478" s="45"/>
      <c r="W478" s="45"/>
      <c r="X478" s="45"/>
      <c r="Y478" s="69"/>
      <c r="Z478" s="45"/>
      <c r="AA478" s="45"/>
      <c r="AB478" s="70"/>
      <c r="AC478" s="70"/>
      <c r="AD478" s="70"/>
      <c r="AE478" s="70"/>
      <c r="AF478" s="45"/>
      <c r="AG478" s="71"/>
      <c r="AH478" s="71"/>
      <c r="AI478" s="45"/>
      <c r="AJ478" s="45"/>
      <c r="AK478" s="45"/>
      <c r="AL478" s="45"/>
      <c r="AM478" s="45"/>
      <c r="AN478" s="45"/>
    </row>
    <row r="479">
      <c r="A479" s="45"/>
      <c r="B479" s="45"/>
      <c r="C479" s="45"/>
      <c r="D479" s="45"/>
      <c r="E479" s="45"/>
      <c r="F479" s="45"/>
      <c r="G479" s="69"/>
      <c r="H479" s="45"/>
      <c r="I479" s="45"/>
      <c r="J479" s="69"/>
      <c r="K479" s="45"/>
      <c r="L479" s="45"/>
      <c r="M479" s="45"/>
      <c r="N479" s="69"/>
      <c r="O479" s="45"/>
      <c r="P479" s="45"/>
      <c r="Q479" s="69"/>
      <c r="R479" s="45"/>
      <c r="S479" s="45"/>
      <c r="T479" s="69"/>
      <c r="U479" s="45"/>
      <c r="V479" s="45"/>
      <c r="W479" s="45"/>
      <c r="X479" s="45"/>
      <c r="Y479" s="69"/>
      <c r="Z479" s="45"/>
      <c r="AA479" s="45"/>
      <c r="AB479" s="70"/>
      <c r="AC479" s="70"/>
      <c r="AD479" s="70"/>
      <c r="AE479" s="70"/>
      <c r="AF479" s="45"/>
      <c r="AG479" s="71"/>
      <c r="AH479" s="71"/>
      <c r="AI479" s="45"/>
      <c r="AJ479" s="45"/>
      <c r="AK479" s="45"/>
      <c r="AL479" s="45"/>
      <c r="AM479" s="45"/>
      <c r="AN479" s="45"/>
    </row>
    <row r="480">
      <c r="A480" s="45"/>
      <c r="B480" s="45"/>
      <c r="C480" s="45"/>
      <c r="D480" s="45"/>
      <c r="E480" s="45"/>
      <c r="F480" s="45"/>
      <c r="G480" s="69"/>
      <c r="H480" s="45"/>
      <c r="I480" s="45"/>
      <c r="J480" s="69"/>
      <c r="K480" s="45"/>
      <c r="L480" s="45"/>
      <c r="M480" s="45"/>
      <c r="N480" s="69"/>
      <c r="O480" s="45"/>
      <c r="P480" s="45"/>
      <c r="Q480" s="69"/>
      <c r="R480" s="45"/>
      <c r="S480" s="45"/>
      <c r="T480" s="69"/>
      <c r="U480" s="45"/>
      <c r="V480" s="45"/>
      <c r="W480" s="45"/>
      <c r="X480" s="45"/>
      <c r="Y480" s="69"/>
      <c r="Z480" s="45"/>
      <c r="AA480" s="45"/>
      <c r="AB480" s="70"/>
      <c r="AC480" s="70"/>
      <c r="AD480" s="70"/>
      <c r="AE480" s="70"/>
      <c r="AF480" s="45"/>
      <c r="AG480" s="71"/>
      <c r="AH480" s="71"/>
      <c r="AI480" s="45"/>
      <c r="AJ480" s="45"/>
      <c r="AK480" s="45"/>
      <c r="AL480" s="45"/>
      <c r="AM480" s="45"/>
      <c r="AN480" s="45"/>
    </row>
    <row r="481">
      <c r="A481" s="45"/>
      <c r="B481" s="45"/>
      <c r="C481" s="45"/>
      <c r="D481" s="45"/>
      <c r="E481" s="45"/>
      <c r="F481" s="45"/>
      <c r="G481" s="69"/>
      <c r="H481" s="45"/>
      <c r="I481" s="45"/>
      <c r="J481" s="69"/>
      <c r="K481" s="45"/>
      <c r="L481" s="45"/>
      <c r="M481" s="45"/>
      <c r="N481" s="69"/>
      <c r="O481" s="45"/>
      <c r="P481" s="45"/>
      <c r="Q481" s="69"/>
      <c r="R481" s="45"/>
      <c r="S481" s="45"/>
      <c r="T481" s="69"/>
      <c r="U481" s="45"/>
      <c r="V481" s="45"/>
      <c r="W481" s="45"/>
      <c r="X481" s="45"/>
      <c r="Y481" s="69"/>
      <c r="Z481" s="45"/>
      <c r="AA481" s="45"/>
      <c r="AB481" s="70"/>
      <c r="AC481" s="70"/>
      <c r="AD481" s="70"/>
      <c r="AE481" s="70"/>
      <c r="AF481" s="45"/>
      <c r="AG481" s="71"/>
      <c r="AH481" s="71"/>
      <c r="AI481" s="45"/>
      <c r="AJ481" s="45"/>
      <c r="AK481" s="45"/>
      <c r="AL481" s="45"/>
      <c r="AM481" s="45"/>
      <c r="AN481" s="45"/>
    </row>
    <row r="482">
      <c r="A482" s="45"/>
      <c r="B482" s="45"/>
      <c r="C482" s="45"/>
      <c r="D482" s="45"/>
      <c r="E482" s="45"/>
      <c r="F482" s="45"/>
      <c r="G482" s="69"/>
      <c r="H482" s="45"/>
      <c r="I482" s="45"/>
      <c r="J482" s="69"/>
      <c r="K482" s="45"/>
      <c r="L482" s="45"/>
      <c r="M482" s="45"/>
      <c r="N482" s="69"/>
      <c r="O482" s="45"/>
      <c r="P482" s="45"/>
      <c r="Q482" s="69"/>
      <c r="R482" s="45"/>
      <c r="S482" s="45"/>
      <c r="T482" s="69"/>
      <c r="U482" s="45"/>
      <c r="V482" s="45"/>
      <c r="W482" s="45"/>
      <c r="X482" s="45"/>
      <c r="Y482" s="69"/>
      <c r="Z482" s="45"/>
      <c r="AA482" s="45"/>
      <c r="AB482" s="70"/>
      <c r="AC482" s="70"/>
      <c r="AD482" s="70"/>
      <c r="AE482" s="70"/>
      <c r="AF482" s="45"/>
      <c r="AG482" s="71"/>
      <c r="AH482" s="71"/>
      <c r="AI482" s="45"/>
      <c r="AJ482" s="45"/>
      <c r="AK482" s="45"/>
      <c r="AL482" s="45"/>
      <c r="AM482" s="45"/>
      <c r="AN482" s="45"/>
    </row>
    <row r="483">
      <c r="A483" s="45"/>
      <c r="B483" s="45"/>
      <c r="C483" s="45"/>
      <c r="D483" s="45"/>
      <c r="E483" s="45"/>
      <c r="F483" s="45"/>
      <c r="G483" s="69"/>
      <c r="H483" s="45"/>
      <c r="I483" s="45"/>
      <c r="J483" s="69"/>
      <c r="K483" s="45"/>
      <c r="L483" s="45"/>
      <c r="M483" s="45"/>
      <c r="N483" s="69"/>
      <c r="O483" s="45"/>
      <c r="P483" s="45"/>
      <c r="Q483" s="69"/>
      <c r="R483" s="45"/>
      <c r="S483" s="45"/>
      <c r="T483" s="69"/>
      <c r="U483" s="45"/>
      <c r="V483" s="45"/>
      <c r="W483" s="45"/>
      <c r="X483" s="45"/>
      <c r="Y483" s="69"/>
      <c r="Z483" s="45"/>
      <c r="AA483" s="45"/>
      <c r="AB483" s="70"/>
      <c r="AC483" s="70"/>
      <c r="AD483" s="70"/>
      <c r="AE483" s="70"/>
      <c r="AF483" s="45"/>
      <c r="AG483" s="71"/>
      <c r="AH483" s="71"/>
      <c r="AI483" s="45"/>
      <c r="AJ483" s="45"/>
      <c r="AK483" s="45"/>
      <c r="AL483" s="45"/>
      <c r="AM483" s="45"/>
      <c r="AN483" s="45"/>
    </row>
    <row r="484">
      <c r="A484" s="45"/>
      <c r="B484" s="45"/>
      <c r="C484" s="45"/>
      <c r="D484" s="45"/>
      <c r="E484" s="45"/>
      <c r="F484" s="45"/>
      <c r="G484" s="69"/>
      <c r="H484" s="45"/>
      <c r="I484" s="45"/>
      <c r="J484" s="69"/>
      <c r="K484" s="45"/>
      <c r="L484" s="45"/>
      <c r="M484" s="45"/>
      <c r="N484" s="69"/>
      <c r="O484" s="45"/>
      <c r="P484" s="45"/>
      <c r="Q484" s="69"/>
      <c r="R484" s="45"/>
      <c r="S484" s="45"/>
      <c r="T484" s="69"/>
      <c r="U484" s="45"/>
      <c r="V484" s="45"/>
      <c r="W484" s="45"/>
      <c r="X484" s="45"/>
      <c r="Y484" s="69"/>
      <c r="Z484" s="45"/>
      <c r="AA484" s="45"/>
      <c r="AB484" s="70"/>
      <c r="AC484" s="70"/>
      <c r="AD484" s="70"/>
      <c r="AE484" s="70"/>
      <c r="AF484" s="45"/>
      <c r="AG484" s="71"/>
      <c r="AH484" s="71"/>
      <c r="AI484" s="45"/>
      <c r="AJ484" s="45"/>
      <c r="AK484" s="45"/>
      <c r="AL484" s="45"/>
      <c r="AM484" s="45"/>
      <c r="AN484" s="45"/>
    </row>
    <row r="485">
      <c r="A485" s="45"/>
      <c r="B485" s="45"/>
      <c r="C485" s="45"/>
      <c r="D485" s="45"/>
      <c r="E485" s="45"/>
      <c r="F485" s="45"/>
      <c r="G485" s="69"/>
      <c r="H485" s="45"/>
      <c r="I485" s="45"/>
      <c r="J485" s="69"/>
      <c r="K485" s="45"/>
      <c r="L485" s="45"/>
      <c r="M485" s="45"/>
      <c r="N485" s="69"/>
      <c r="O485" s="45"/>
      <c r="P485" s="45"/>
      <c r="Q485" s="69"/>
      <c r="R485" s="45"/>
      <c r="S485" s="45"/>
      <c r="T485" s="69"/>
      <c r="U485" s="45"/>
      <c r="V485" s="45"/>
      <c r="W485" s="45"/>
      <c r="X485" s="45"/>
      <c r="Y485" s="69"/>
      <c r="Z485" s="45"/>
      <c r="AA485" s="45"/>
      <c r="AB485" s="70"/>
      <c r="AC485" s="70"/>
      <c r="AD485" s="70"/>
      <c r="AE485" s="70"/>
      <c r="AF485" s="45"/>
      <c r="AG485" s="71"/>
      <c r="AH485" s="71"/>
      <c r="AI485" s="45"/>
      <c r="AJ485" s="45"/>
      <c r="AK485" s="45"/>
      <c r="AL485" s="45"/>
      <c r="AM485" s="45"/>
      <c r="AN485" s="45"/>
    </row>
    <row r="486">
      <c r="A486" s="45"/>
      <c r="B486" s="45"/>
      <c r="C486" s="45"/>
      <c r="D486" s="45"/>
      <c r="E486" s="45"/>
      <c r="F486" s="45"/>
      <c r="G486" s="69"/>
      <c r="H486" s="45"/>
      <c r="I486" s="45"/>
      <c r="J486" s="69"/>
      <c r="K486" s="45"/>
      <c r="L486" s="45"/>
      <c r="M486" s="45"/>
      <c r="N486" s="69"/>
      <c r="O486" s="45"/>
      <c r="P486" s="45"/>
      <c r="Q486" s="69"/>
      <c r="R486" s="45"/>
      <c r="S486" s="45"/>
      <c r="T486" s="69"/>
      <c r="U486" s="45"/>
      <c r="V486" s="45"/>
      <c r="W486" s="45"/>
      <c r="X486" s="45"/>
      <c r="Y486" s="69"/>
      <c r="Z486" s="45"/>
      <c r="AA486" s="45"/>
      <c r="AB486" s="70"/>
      <c r="AC486" s="70"/>
      <c r="AD486" s="70"/>
      <c r="AE486" s="70"/>
      <c r="AF486" s="45"/>
      <c r="AG486" s="71"/>
      <c r="AH486" s="71"/>
      <c r="AI486" s="45"/>
      <c r="AJ486" s="45"/>
      <c r="AK486" s="45"/>
      <c r="AL486" s="45"/>
      <c r="AM486" s="45"/>
      <c r="AN486" s="45"/>
    </row>
    <row r="487">
      <c r="A487" s="45"/>
      <c r="B487" s="45"/>
      <c r="C487" s="45"/>
      <c r="D487" s="45"/>
      <c r="E487" s="45"/>
      <c r="F487" s="45"/>
      <c r="G487" s="69"/>
      <c r="H487" s="45"/>
      <c r="I487" s="45"/>
      <c r="J487" s="69"/>
      <c r="K487" s="45"/>
      <c r="L487" s="45"/>
      <c r="M487" s="45"/>
      <c r="N487" s="69"/>
      <c r="O487" s="45"/>
      <c r="P487" s="45"/>
      <c r="Q487" s="69"/>
      <c r="R487" s="45"/>
      <c r="S487" s="45"/>
      <c r="T487" s="69"/>
      <c r="U487" s="45"/>
      <c r="V487" s="45"/>
      <c r="W487" s="45"/>
      <c r="X487" s="45"/>
      <c r="Y487" s="69"/>
      <c r="Z487" s="45"/>
      <c r="AA487" s="45"/>
      <c r="AB487" s="70"/>
      <c r="AC487" s="70"/>
      <c r="AD487" s="70"/>
      <c r="AE487" s="70"/>
      <c r="AF487" s="45"/>
      <c r="AG487" s="71"/>
      <c r="AH487" s="71"/>
      <c r="AI487" s="45"/>
      <c r="AJ487" s="45"/>
      <c r="AK487" s="45"/>
      <c r="AL487" s="45"/>
      <c r="AM487" s="45"/>
      <c r="AN487" s="45"/>
    </row>
    <row r="488">
      <c r="A488" s="45"/>
      <c r="B488" s="45"/>
      <c r="C488" s="45"/>
      <c r="D488" s="45"/>
      <c r="E488" s="45"/>
      <c r="F488" s="45"/>
      <c r="G488" s="69"/>
      <c r="H488" s="45"/>
      <c r="I488" s="45"/>
      <c r="J488" s="69"/>
      <c r="K488" s="45"/>
      <c r="L488" s="45"/>
      <c r="M488" s="45"/>
      <c r="N488" s="69"/>
      <c r="O488" s="45"/>
      <c r="P488" s="45"/>
      <c r="Q488" s="69"/>
      <c r="R488" s="45"/>
      <c r="S488" s="45"/>
      <c r="T488" s="69"/>
      <c r="U488" s="45"/>
      <c r="V488" s="45"/>
      <c r="W488" s="45"/>
      <c r="X488" s="45"/>
      <c r="Y488" s="69"/>
      <c r="Z488" s="45"/>
      <c r="AA488" s="45"/>
      <c r="AB488" s="70"/>
      <c r="AC488" s="70"/>
      <c r="AD488" s="70"/>
      <c r="AE488" s="70"/>
      <c r="AF488" s="45"/>
      <c r="AG488" s="71"/>
      <c r="AH488" s="71"/>
      <c r="AI488" s="45"/>
      <c r="AJ488" s="45"/>
      <c r="AK488" s="45"/>
      <c r="AL488" s="45"/>
      <c r="AM488" s="45"/>
      <c r="AN488" s="45"/>
    </row>
    <row r="489">
      <c r="A489" s="45"/>
      <c r="B489" s="45"/>
      <c r="C489" s="45"/>
      <c r="D489" s="45"/>
      <c r="E489" s="45"/>
      <c r="F489" s="45"/>
      <c r="G489" s="69"/>
      <c r="H489" s="45"/>
      <c r="I489" s="45"/>
      <c r="J489" s="69"/>
      <c r="K489" s="45"/>
      <c r="L489" s="45"/>
      <c r="M489" s="45"/>
      <c r="N489" s="69"/>
      <c r="O489" s="45"/>
      <c r="P489" s="45"/>
      <c r="Q489" s="69"/>
      <c r="R489" s="45"/>
      <c r="S489" s="45"/>
      <c r="T489" s="69"/>
      <c r="U489" s="45"/>
      <c r="V489" s="45"/>
      <c r="W489" s="45"/>
      <c r="X489" s="45"/>
      <c r="Y489" s="69"/>
      <c r="Z489" s="45"/>
      <c r="AA489" s="45"/>
      <c r="AB489" s="70"/>
      <c r="AC489" s="70"/>
      <c r="AD489" s="70"/>
      <c r="AE489" s="70"/>
      <c r="AF489" s="45"/>
      <c r="AG489" s="71"/>
      <c r="AH489" s="71"/>
      <c r="AI489" s="45"/>
      <c r="AJ489" s="45"/>
      <c r="AK489" s="45"/>
      <c r="AL489" s="45"/>
      <c r="AM489" s="45"/>
      <c r="AN489" s="45"/>
    </row>
    <row r="490">
      <c r="A490" s="45"/>
      <c r="B490" s="45"/>
      <c r="C490" s="45"/>
      <c r="D490" s="45"/>
      <c r="E490" s="45"/>
      <c r="F490" s="45"/>
      <c r="G490" s="69"/>
      <c r="H490" s="45"/>
      <c r="I490" s="45"/>
      <c r="J490" s="69"/>
      <c r="K490" s="45"/>
      <c r="L490" s="45"/>
      <c r="M490" s="45"/>
      <c r="N490" s="69"/>
      <c r="O490" s="45"/>
      <c r="P490" s="45"/>
      <c r="Q490" s="69"/>
      <c r="R490" s="45"/>
      <c r="S490" s="45"/>
      <c r="T490" s="69"/>
      <c r="U490" s="45"/>
      <c r="V490" s="45"/>
      <c r="W490" s="45"/>
      <c r="X490" s="45"/>
      <c r="Y490" s="69"/>
      <c r="Z490" s="45"/>
      <c r="AA490" s="45"/>
      <c r="AB490" s="70"/>
      <c r="AC490" s="70"/>
      <c r="AD490" s="70"/>
      <c r="AE490" s="70"/>
      <c r="AF490" s="45"/>
      <c r="AG490" s="71"/>
      <c r="AH490" s="71"/>
      <c r="AI490" s="45"/>
      <c r="AJ490" s="45"/>
      <c r="AK490" s="45"/>
      <c r="AL490" s="45"/>
      <c r="AM490" s="45"/>
      <c r="AN490" s="45"/>
    </row>
    <row r="491">
      <c r="A491" s="45"/>
      <c r="B491" s="45"/>
      <c r="C491" s="45"/>
      <c r="D491" s="45"/>
      <c r="E491" s="45"/>
      <c r="F491" s="45"/>
      <c r="G491" s="69"/>
      <c r="H491" s="45"/>
      <c r="I491" s="45"/>
      <c r="J491" s="69"/>
      <c r="K491" s="45"/>
      <c r="L491" s="45"/>
      <c r="M491" s="45"/>
      <c r="N491" s="69"/>
      <c r="O491" s="45"/>
      <c r="P491" s="45"/>
      <c r="Q491" s="69"/>
      <c r="R491" s="45"/>
      <c r="S491" s="45"/>
      <c r="T491" s="69"/>
      <c r="U491" s="45"/>
      <c r="V491" s="45"/>
      <c r="W491" s="45"/>
      <c r="X491" s="45"/>
      <c r="Y491" s="69"/>
      <c r="Z491" s="45"/>
      <c r="AA491" s="45"/>
      <c r="AB491" s="70"/>
      <c r="AC491" s="70"/>
      <c r="AD491" s="70"/>
      <c r="AE491" s="70"/>
      <c r="AF491" s="45"/>
      <c r="AG491" s="71"/>
      <c r="AH491" s="71"/>
      <c r="AI491" s="45"/>
      <c r="AJ491" s="45"/>
      <c r="AK491" s="45"/>
      <c r="AL491" s="45"/>
      <c r="AM491" s="45"/>
      <c r="AN491" s="45"/>
    </row>
    <row r="492">
      <c r="A492" s="45"/>
      <c r="B492" s="45"/>
      <c r="C492" s="45"/>
      <c r="D492" s="45"/>
      <c r="E492" s="45"/>
      <c r="F492" s="45"/>
      <c r="G492" s="69"/>
      <c r="H492" s="45"/>
      <c r="I492" s="45"/>
      <c r="J492" s="69"/>
      <c r="K492" s="45"/>
      <c r="L492" s="45"/>
      <c r="M492" s="45"/>
      <c r="N492" s="69"/>
      <c r="O492" s="45"/>
      <c r="P492" s="45"/>
      <c r="Q492" s="69"/>
      <c r="R492" s="45"/>
      <c r="S492" s="45"/>
      <c r="T492" s="69"/>
      <c r="U492" s="45"/>
      <c r="V492" s="45"/>
      <c r="W492" s="45"/>
      <c r="X492" s="45"/>
      <c r="Y492" s="69"/>
      <c r="Z492" s="45"/>
      <c r="AA492" s="45"/>
      <c r="AB492" s="70"/>
      <c r="AC492" s="70"/>
      <c r="AD492" s="70"/>
      <c r="AE492" s="70"/>
      <c r="AF492" s="45"/>
      <c r="AG492" s="71"/>
      <c r="AH492" s="71"/>
      <c r="AI492" s="45"/>
      <c r="AJ492" s="45"/>
      <c r="AK492" s="45"/>
      <c r="AL492" s="45"/>
      <c r="AM492" s="45"/>
      <c r="AN492" s="45"/>
    </row>
    <row r="493">
      <c r="A493" s="45"/>
      <c r="B493" s="45"/>
      <c r="C493" s="45"/>
      <c r="D493" s="45"/>
      <c r="E493" s="45"/>
      <c r="F493" s="45"/>
      <c r="G493" s="69"/>
      <c r="H493" s="45"/>
      <c r="I493" s="45"/>
      <c r="J493" s="69"/>
      <c r="K493" s="45"/>
      <c r="L493" s="45"/>
      <c r="M493" s="45"/>
      <c r="N493" s="69"/>
      <c r="O493" s="45"/>
      <c r="P493" s="45"/>
      <c r="Q493" s="69"/>
      <c r="R493" s="45"/>
      <c r="S493" s="45"/>
      <c r="T493" s="69"/>
      <c r="U493" s="45"/>
      <c r="V493" s="45"/>
      <c r="W493" s="45"/>
      <c r="X493" s="45"/>
      <c r="Y493" s="69"/>
      <c r="Z493" s="45"/>
      <c r="AA493" s="45"/>
      <c r="AB493" s="70"/>
      <c r="AC493" s="70"/>
      <c r="AD493" s="70"/>
      <c r="AE493" s="70"/>
      <c r="AF493" s="45"/>
      <c r="AG493" s="71"/>
      <c r="AH493" s="71"/>
      <c r="AI493" s="45"/>
      <c r="AJ493" s="45"/>
      <c r="AK493" s="45"/>
      <c r="AL493" s="45"/>
      <c r="AM493" s="45"/>
      <c r="AN493" s="45"/>
    </row>
    <row r="494">
      <c r="A494" s="45"/>
      <c r="B494" s="45"/>
      <c r="C494" s="45"/>
      <c r="D494" s="45"/>
      <c r="E494" s="45"/>
      <c r="F494" s="45"/>
      <c r="G494" s="69"/>
      <c r="H494" s="45"/>
      <c r="I494" s="45"/>
      <c r="J494" s="69"/>
      <c r="K494" s="45"/>
      <c r="L494" s="45"/>
      <c r="M494" s="45"/>
      <c r="N494" s="69"/>
      <c r="O494" s="45"/>
      <c r="P494" s="45"/>
      <c r="Q494" s="69"/>
      <c r="R494" s="45"/>
      <c r="S494" s="45"/>
      <c r="T494" s="69"/>
      <c r="U494" s="45"/>
      <c r="V494" s="45"/>
      <c r="W494" s="45"/>
      <c r="X494" s="45"/>
      <c r="Y494" s="69"/>
      <c r="Z494" s="45"/>
      <c r="AA494" s="45"/>
      <c r="AB494" s="70"/>
      <c r="AC494" s="70"/>
      <c r="AD494" s="70"/>
      <c r="AE494" s="70"/>
      <c r="AF494" s="45"/>
      <c r="AG494" s="71"/>
      <c r="AH494" s="71"/>
      <c r="AI494" s="45"/>
      <c r="AJ494" s="45"/>
      <c r="AK494" s="45"/>
      <c r="AL494" s="45"/>
      <c r="AM494" s="45"/>
      <c r="AN494" s="45"/>
    </row>
    <row r="495">
      <c r="A495" s="45"/>
      <c r="B495" s="45"/>
      <c r="C495" s="45"/>
      <c r="D495" s="45"/>
      <c r="E495" s="45"/>
      <c r="F495" s="45"/>
      <c r="G495" s="69"/>
      <c r="H495" s="45"/>
      <c r="I495" s="45"/>
      <c r="J495" s="69"/>
      <c r="K495" s="45"/>
      <c r="L495" s="45"/>
      <c r="M495" s="45"/>
      <c r="N495" s="69"/>
      <c r="O495" s="45"/>
      <c r="P495" s="45"/>
      <c r="Q495" s="69"/>
      <c r="R495" s="45"/>
      <c r="S495" s="45"/>
      <c r="T495" s="69"/>
      <c r="U495" s="45"/>
      <c r="V495" s="45"/>
      <c r="W495" s="45"/>
      <c r="X495" s="45"/>
      <c r="Y495" s="69"/>
      <c r="Z495" s="45"/>
      <c r="AA495" s="45"/>
      <c r="AB495" s="70"/>
      <c r="AC495" s="70"/>
      <c r="AD495" s="70"/>
      <c r="AE495" s="70"/>
      <c r="AF495" s="45"/>
      <c r="AG495" s="71"/>
      <c r="AH495" s="71"/>
      <c r="AI495" s="45"/>
      <c r="AJ495" s="45"/>
      <c r="AK495" s="45"/>
      <c r="AL495" s="45"/>
      <c r="AM495" s="45"/>
      <c r="AN495" s="45"/>
    </row>
    <row r="496">
      <c r="A496" s="45"/>
      <c r="B496" s="45"/>
      <c r="C496" s="45"/>
      <c r="D496" s="45"/>
      <c r="E496" s="45"/>
      <c r="F496" s="45"/>
      <c r="G496" s="69"/>
      <c r="H496" s="45"/>
      <c r="I496" s="45"/>
      <c r="J496" s="69"/>
      <c r="K496" s="45"/>
      <c r="L496" s="45"/>
      <c r="M496" s="45"/>
      <c r="N496" s="69"/>
      <c r="O496" s="45"/>
      <c r="P496" s="45"/>
      <c r="Q496" s="69"/>
      <c r="R496" s="45"/>
      <c r="S496" s="45"/>
      <c r="T496" s="69"/>
      <c r="U496" s="45"/>
      <c r="V496" s="45"/>
      <c r="W496" s="45"/>
      <c r="X496" s="45"/>
      <c r="Y496" s="69"/>
      <c r="Z496" s="45"/>
      <c r="AA496" s="45"/>
      <c r="AB496" s="70"/>
      <c r="AC496" s="70"/>
      <c r="AD496" s="70"/>
      <c r="AE496" s="70"/>
      <c r="AF496" s="45"/>
      <c r="AG496" s="71"/>
      <c r="AH496" s="71"/>
      <c r="AI496" s="45"/>
      <c r="AJ496" s="45"/>
      <c r="AK496" s="45"/>
      <c r="AL496" s="45"/>
      <c r="AM496" s="45"/>
      <c r="AN496" s="45"/>
    </row>
    <row r="497">
      <c r="A497" s="45"/>
      <c r="B497" s="45"/>
      <c r="C497" s="45"/>
      <c r="D497" s="45"/>
      <c r="E497" s="45"/>
      <c r="F497" s="45"/>
      <c r="G497" s="69"/>
      <c r="H497" s="45"/>
      <c r="I497" s="45"/>
      <c r="J497" s="69"/>
      <c r="K497" s="45"/>
      <c r="L497" s="45"/>
      <c r="M497" s="45"/>
      <c r="N497" s="69"/>
      <c r="O497" s="45"/>
      <c r="P497" s="45"/>
      <c r="Q497" s="69"/>
      <c r="R497" s="45"/>
      <c r="S497" s="45"/>
      <c r="T497" s="69"/>
      <c r="U497" s="45"/>
      <c r="V497" s="45"/>
      <c r="W497" s="45"/>
      <c r="X497" s="45"/>
      <c r="Y497" s="69"/>
      <c r="Z497" s="45"/>
      <c r="AA497" s="45"/>
      <c r="AB497" s="70"/>
      <c r="AC497" s="70"/>
      <c r="AD497" s="70"/>
      <c r="AE497" s="70"/>
      <c r="AF497" s="45"/>
      <c r="AG497" s="71"/>
      <c r="AH497" s="71"/>
      <c r="AI497" s="45"/>
      <c r="AJ497" s="45"/>
      <c r="AK497" s="45"/>
      <c r="AL497" s="45"/>
      <c r="AM497" s="45"/>
      <c r="AN497" s="45"/>
    </row>
    <row r="498">
      <c r="A498" s="45"/>
      <c r="B498" s="45"/>
      <c r="C498" s="45"/>
      <c r="D498" s="45"/>
      <c r="E498" s="45"/>
      <c r="F498" s="45"/>
      <c r="G498" s="69"/>
      <c r="H498" s="45"/>
      <c r="I498" s="45"/>
      <c r="J498" s="69"/>
      <c r="K498" s="45"/>
      <c r="L498" s="45"/>
      <c r="M498" s="45"/>
      <c r="N498" s="69"/>
      <c r="O498" s="45"/>
      <c r="P498" s="45"/>
      <c r="Q498" s="69"/>
      <c r="R498" s="45"/>
      <c r="S498" s="45"/>
      <c r="T498" s="69"/>
      <c r="U498" s="45"/>
      <c r="V498" s="45"/>
      <c r="W498" s="45"/>
      <c r="X498" s="45"/>
      <c r="Y498" s="69"/>
      <c r="Z498" s="45"/>
      <c r="AA498" s="45"/>
      <c r="AB498" s="70"/>
      <c r="AC498" s="70"/>
      <c r="AD498" s="70"/>
      <c r="AE498" s="70"/>
      <c r="AF498" s="45"/>
      <c r="AG498" s="71"/>
      <c r="AH498" s="71"/>
      <c r="AI498" s="45"/>
      <c r="AJ498" s="45"/>
      <c r="AK498" s="45"/>
      <c r="AL498" s="45"/>
      <c r="AM498" s="45"/>
      <c r="AN498" s="45"/>
    </row>
    <row r="499">
      <c r="A499" s="45"/>
      <c r="B499" s="45"/>
      <c r="C499" s="45"/>
      <c r="D499" s="45"/>
      <c r="E499" s="45"/>
      <c r="F499" s="45"/>
      <c r="G499" s="69"/>
      <c r="H499" s="45"/>
      <c r="I499" s="45"/>
      <c r="J499" s="69"/>
      <c r="K499" s="45"/>
      <c r="L499" s="45"/>
      <c r="M499" s="45"/>
      <c r="N499" s="69"/>
      <c r="O499" s="45"/>
      <c r="P499" s="45"/>
      <c r="Q499" s="69"/>
      <c r="R499" s="45"/>
      <c r="S499" s="45"/>
      <c r="T499" s="69"/>
      <c r="U499" s="45"/>
      <c r="V499" s="45"/>
      <c r="W499" s="45"/>
      <c r="X499" s="45"/>
      <c r="Y499" s="69"/>
      <c r="Z499" s="45"/>
      <c r="AA499" s="45"/>
      <c r="AB499" s="70"/>
      <c r="AC499" s="70"/>
      <c r="AD499" s="70"/>
      <c r="AE499" s="70"/>
      <c r="AF499" s="45"/>
      <c r="AG499" s="71"/>
      <c r="AH499" s="71"/>
      <c r="AI499" s="45"/>
      <c r="AJ499" s="45"/>
      <c r="AK499" s="45"/>
      <c r="AL499" s="45"/>
      <c r="AM499" s="45"/>
      <c r="AN499" s="45"/>
    </row>
    <row r="500">
      <c r="A500" s="45"/>
      <c r="B500" s="45"/>
      <c r="C500" s="45"/>
      <c r="D500" s="45"/>
      <c r="E500" s="45"/>
      <c r="F500" s="45"/>
      <c r="G500" s="69"/>
      <c r="H500" s="45"/>
      <c r="I500" s="45"/>
      <c r="J500" s="69"/>
      <c r="K500" s="45"/>
      <c r="L500" s="45"/>
      <c r="M500" s="45"/>
      <c r="N500" s="69"/>
      <c r="O500" s="45"/>
      <c r="P500" s="45"/>
      <c r="Q500" s="69"/>
      <c r="R500" s="45"/>
      <c r="S500" s="45"/>
      <c r="T500" s="69"/>
      <c r="U500" s="45"/>
      <c r="V500" s="45"/>
      <c r="W500" s="45"/>
      <c r="X500" s="45"/>
      <c r="Y500" s="69"/>
      <c r="Z500" s="45"/>
      <c r="AA500" s="45"/>
      <c r="AB500" s="70"/>
      <c r="AC500" s="70"/>
      <c r="AD500" s="70"/>
      <c r="AE500" s="70"/>
      <c r="AF500" s="45"/>
      <c r="AG500" s="71"/>
      <c r="AH500" s="71"/>
      <c r="AI500" s="45"/>
      <c r="AJ500" s="45"/>
      <c r="AK500" s="45"/>
      <c r="AL500" s="45"/>
      <c r="AM500" s="45"/>
      <c r="AN500" s="45"/>
    </row>
  </sheetData>
  <autoFilter ref="$A$9:$AN$500"/>
  <mergeCells count="6">
    <mergeCell ref="A1:AN1"/>
    <mergeCell ref="A2:AN2"/>
    <mergeCell ref="A3:AN3"/>
    <mergeCell ref="A4:AN4"/>
    <mergeCell ref="A7:AN7"/>
    <mergeCell ref="A8:AN8"/>
  </mergeCells>
  <conditionalFormatting sqref="AL10:AL500">
    <cfRule type="cellIs" dxfId="5" priority="1" stopIfTrue="1" operator="equal">
      <formula>"Mismatch"</formula>
    </cfRule>
  </conditionalFormatting>
  <conditionalFormatting sqref="AK10:AK500">
    <cfRule type="cellIs" dxfId="5" priority="2" stopIfTrue="1" operator="equal">
      <formula>"Orphan"</formula>
    </cfRule>
  </conditionalFormatting>
  <conditionalFormatting sqref="AK10:AK500">
    <cfRule type="cellIs" dxfId="3" priority="3" stopIfTrue="1" operator="equal">
      <formula>"Complete"</formula>
    </cfRule>
  </conditionalFormatting>
  <dataValidations>
    <dataValidation type="list" allowBlank="1" showErrorMessage="1" sqref="AK10:AK500">
      <formula1>"Complete,Partial,Orphan,Excluded"</formula1>
    </dataValidation>
    <dataValidation type="list" allowBlank="1" showErrorMessage="1" sqref="B10:B500">
      <formula1>"AOPL,AGL,ACL,ACSL,AIL"</formula1>
    </dataValidation>
    <dataValidation type="list" allowBlank="1" showErrorMessage="1" sqref="AL10:AL500">
      <formula1>"Reconciled,Mismatch,Pending,Not Applicable"</formula1>
    </dataValidation>
  </dataValidations>
  <drawing r:id="rId1"/>
</worksheet>
</file>